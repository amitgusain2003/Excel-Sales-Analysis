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mitg\Desktop\"/>
    </mc:Choice>
  </mc:AlternateContent>
  <xr:revisionPtr revIDLastSave="0" documentId="13_ncr:1_{23F827C3-1026-4F8D-99A7-62E6D27B3E9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 Data" sheetId="1" r:id="rId1"/>
    <sheet name="Basic Formulas" sheetId="2" r:id="rId2"/>
    <sheet name="VLOOKUP &amp; XLOOKUP" sheetId="3" r:id="rId3"/>
    <sheet name="Pivot Table Practice" sheetId="4" r:id="rId4"/>
  </sheets>
  <calcPr calcId="191029"/>
  <pivotCaches>
    <pivotCache cacheId="2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2" l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B28" i="1"/>
  <c r="F31" i="1"/>
  <c r="F30" i="1"/>
  <c r="F29" i="1"/>
  <c r="F28" i="1"/>
  <c r="B25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23" i="2"/>
  <c r="D23" i="2"/>
  <c r="C23" i="2"/>
  <c r="D22" i="2"/>
  <c r="C22" i="2"/>
  <c r="E22" i="2" s="1"/>
  <c r="D21" i="2"/>
  <c r="C21" i="2"/>
  <c r="E21" i="2" s="1"/>
  <c r="D20" i="2"/>
  <c r="C20" i="2"/>
  <c r="E20" i="2" s="1"/>
  <c r="E19" i="2"/>
  <c r="D19" i="2"/>
  <c r="C19" i="2"/>
  <c r="B14" i="2"/>
  <c r="B13" i="2"/>
  <c r="D11" i="2"/>
  <c r="C11" i="2"/>
  <c r="B11" i="2"/>
  <c r="F10" i="2"/>
  <c r="E10" i="2"/>
  <c r="D10" i="2"/>
  <c r="F9" i="2"/>
  <c r="E9" i="2"/>
  <c r="D9" i="2"/>
  <c r="F8" i="2"/>
  <c r="E8" i="2"/>
  <c r="D8" i="2"/>
  <c r="F7" i="2"/>
  <c r="E7" i="2"/>
  <c r="D7" i="2"/>
  <c r="F6" i="2"/>
  <c r="E6" i="2"/>
  <c r="D6" i="2"/>
  <c r="F5" i="2"/>
  <c r="E5" i="2"/>
  <c r="E11" i="2" s="1"/>
  <c r="D5" i="2"/>
</calcChain>
</file>

<file path=xl/sharedStrings.xml><?xml version="1.0" encoding="utf-8"?>
<sst xmlns="http://schemas.openxmlformats.org/spreadsheetml/2006/main" count="470" uniqueCount="137">
  <si>
    <t>Emp_ID</t>
  </si>
  <si>
    <t>Name</t>
  </si>
  <si>
    <t>Department</t>
  </si>
  <si>
    <t>Region</t>
  </si>
  <si>
    <t>Month</t>
  </si>
  <si>
    <t>Sales</t>
  </si>
  <si>
    <t>Target</t>
  </si>
  <si>
    <t>Expenses</t>
  </si>
  <si>
    <t>Joining_Date</t>
  </si>
  <si>
    <t>Rating</t>
  </si>
  <si>
    <t>E001</t>
  </si>
  <si>
    <t>Amit Sharma</t>
  </si>
  <si>
    <t>North</t>
  </si>
  <si>
    <t>Jan-2024</t>
  </si>
  <si>
    <t>2021-03-15</t>
  </si>
  <si>
    <t>E002</t>
  </si>
  <si>
    <t>Priya Patel</t>
  </si>
  <si>
    <t>Marketing</t>
  </si>
  <si>
    <t>West</t>
  </si>
  <si>
    <t>2020-07-22</t>
  </si>
  <si>
    <t>E003</t>
  </si>
  <si>
    <t>Rahul Singh</t>
  </si>
  <si>
    <t>South</t>
  </si>
  <si>
    <t>2019-11-10</t>
  </si>
  <si>
    <t>E004</t>
  </si>
  <si>
    <t>Sneha Reddy</t>
  </si>
  <si>
    <t>IT</t>
  </si>
  <si>
    <t>East</t>
  </si>
  <si>
    <t>2022-01-05</t>
  </si>
  <si>
    <t>E005</t>
  </si>
  <si>
    <t>Vikram Joshi</t>
  </si>
  <si>
    <t>2021-06-30</t>
  </si>
  <si>
    <t>E006</t>
  </si>
  <si>
    <t>Anjali Gupta</t>
  </si>
  <si>
    <t>HR</t>
  </si>
  <si>
    <t>2020-09-18</t>
  </si>
  <si>
    <t>E007</t>
  </si>
  <si>
    <t>Ravi Kumar</t>
  </si>
  <si>
    <t>2018-04-12</t>
  </si>
  <si>
    <t>E008</t>
  </si>
  <si>
    <t>Deepika Nair</t>
  </si>
  <si>
    <t>2022-03-25</t>
  </si>
  <si>
    <t>E009</t>
  </si>
  <si>
    <t>Suresh Mehta</t>
  </si>
  <si>
    <t>2021-08-14</t>
  </si>
  <si>
    <t>E010</t>
  </si>
  <si>
    <t>Kavya Pillai</t>
  </si>
  <si>
    <t>2020-12-01</t>
  </si>
  <si>
    <t>E011</t>
  </si>
  <si>
    <t>Rohit Yadav</t>
  </si>
  <si>
    <t>Feb-2024</t>
  </si>
  <si>
    <t>E012</t>
  </si>
  <si>
    <t>Meena Iyer</t>
  </si>
  <si>
    <t>E013</t>
  </si>
  <si>
    <t>Karan Malhotra</t>
  </si>
  <si>
    <t>E014</t>
  </si>
  <si>
    <t>Sunita Rao</t>
  </si>
  <si>
    <t>E015</t>
  </si>
  <si>
    <t>Ajay Verma</t>
  </si>
  <si>
    <t>E016</t>
  </si>
  <si>
    <t>Pooja Chopra</t>
  </si>
  <si>
    <t>E017</t>
  </si>
  <si>
    <t>Nikhil Bose</t>
  </si>
  <si>
    <t>E018</t>
  </si>
  <si>
    <t>Lakshmi Devi</t>
  </si>
  <si>
    <t>E019</t>
  </si>
  <si>
    <t>Arjun Sharma</t>
  </si>
  <si>
    <t>E020</t>
  </si>
  <si>
    <t>Rekha Singh</t>
  </si>
  <si>
    <t>Mar-2024</t>
  </si>
  <si>
    <t>📘 BASIC FORMULAS PRACTICE</t>
  </si>
  <si>
    <t>SECTION 1 — SUM, AVERAGE, COUNT, MAX, MIN</t>
  </si>
  <si>
    <t>Profit</t>
  </si>
  <si>
    <t>Achievement %</t>
  </si>
  <si>
    <t>Status</t>
  </si>
  <si>
    <t>January</t>
  </si>
  <si>
    <t>February</t>
  </si>
  <si>
    <t>March</t>
  </si>
  <si>
    <t>April</t>
  </si>
  <si>
    <t>May</t>
  </si>
  <si>
    <t>June</t>
  </si>
  <si>
    <t>TOTAL / AVG</t>
  </si>
  <si>
    <t>MAX Sales</t>
  </si>
  <si>
    <t>MIN Sales</t>
  </si>
  <si>
    <t>COUNT Months</t>
  </si>
  <si>
    <t>SECTION 2 — IF / NESTED IF / AND / OR</t>
  </si>
  <si>
    <t>Employee</t>
  </si>
  <si>
    <t>Grade (IF)</t>
  </si>
  <si>
    <t>Bonus (Nested IF)</t>
  </si>
  <si>
    <t>Eligible (AND)</t>
  </si>
  <si>
    <t>📗 VLOOKUP &amp; XLOOKUP PRACTICE</t>
  </si>
  <si>
    <t>MASTER TABLE (Lookup Source)</t>
  </si>
  <si>
    <t>Salary</t>
  </si>
  <si>
    <t>City</t>
  </si>
  <si>
    <t>Delhi</t>
  </si>
  <si>
    <t>Mumbai</t>
  </si>
  <si>
    <t>Bangalore</t>
  </si>
  <si>
    <t>Hyderabad</t>
  </si>
  <si>
    <t>Pune</t>
  </si>
  <si>
    <t>Chennai</t>
  </si>
  <si>
    <t>Kolkata</t>
  </si>
  <si>
    <t>SECTION — VLOOKUP Practice</t>
  </si>
  <si>
    <t>Emp_ID (Search)</t>
  </si>
  <si>
    <t>Name (VLOOKUP)</t>
  </si>
  <si>
    <t>Dept (VLOOKUP)</t>
  </si>
  <si>
    <t>Salary (VLOOKUP)</t>
  </si>
  <si>
    <t>City (VLOOKUP)</t>
  </si>
  <si>
    <t>XLOOKUP (Modern Excel 365) — Same result, better formula:</t>
  </si>
  <si>
    <t>Formula Example →</t>
  </si>
  <si>
    <t>📙 PIVOT TABLE PRACTICE DATA</t>
  </si>
  <si>
    <t>⬇ Use this data to create a Pivot Table — Instructions in column H</t>
  </si>
  <si>
    <t>Amit</t>
  </si>
  <si>
    <t>Apr-2024</t>
  </si>
  <si>
    <t>May-2024</t>
  </si>
  <si>
    <t>Jun-2024</t>
  </si>
  <si>
    <t>Priya</t>
  </si>
  <si>
    <t>Rahul</t>
  </si>
  <si>
    <t>Sneha</t>
  </si>
  <si>
    <t>Vikram</t>
  </si>
  <si>
    <t>Anjali</t>
  </si>
  <si>
    <t>Ravi</t>
  </si>
  <si>
    <t>Deepika</t>
  </si>
  <si>
    <t>Row Labels</t>
  </si>
  <si>
    <t>Grand Total</t>
  </si>
  <si>
    <t>Column Labels</t>
  </si>
  <si>
    <t>Sum of Sales</t>
  </si>
  <si>
    <t>(All)</t>
  </si>
  <si>
    <t>total sum</t>
  </si>
  <si>
    <t>avg</t>
  </si>
  <si>
    <t>max</t>
  </si>
  <si>
    <t>min</t>
  </si>
  <si>
    <t>Emp</t>
  </si>
  <si>
    <t>Pofit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</si>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</sst>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dd\-mmm\-yyyy"/>
    <numFmt numFmtId="166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000000"/>
      <name val="Arial"/>
    </font>
    <font>
      <b/>
      <sz val="14"/>
      <color rgb="FFFFFFFF"/>
      <name val="Arial"/>
    </font>
    <font>
      <b/>
      <sz val="10"/>
      <name val="Arial"/>
    </font>
    <font>
      <b/>
      <sz val="10"/>
      <color rgb="FF000000"/>
      <name val="Arial"/>
    </font>
    <font>
      <sz val="10"/>
      <color rgb="FF1F3864"/>
      <name val="Arial"/>
    </font>
    <font>
      <b/>
      <sz val="10"/>
      <color rgb="FF1F3864"/>
      <name val="Arial"/>
    </font>
    <font>
      <sz val="9"/>
      <color rgb="FFC00000"/>
      <name val="Courier New"/>
    </font>
    <font>
      <b/>
      <sz val="10"/>
      <color rgb="FF7F3F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left" vertical="center"/>
    </xf>
    <xf numFmtId="166" fontId="2" fillId="4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/>
    <xf numFmtId="164" fontId="4" fillId="6" borderId="1" xfId="0" applyNumberFormat="1" applyFont="1" applyFill="1" applyBorder="1"/>
    <xf numFmtId="166" fontId="4" fillId="6" borderId="1" xfId="0" applyNumberFormat="1" applyFont="1" applyFill="1" applyBorder="1"/>
    <xf numFmtId="0" fontId="5" fillId="4" borderId="1" xfId="0" applyFont="1" applyFill="1" applyBorder="1"/>
    <xf numFmtId="164" fontId="6" fillId="4" borderId="1" xfId="0" applyNumberFormat="1" applyFont="1" applyFill="1" applyBorder="1"/>
    <xf numFmtId="0" fontId="5" fillId="3" borderId="1" xfId="0" applyFont="1" applyFill="1" applyBorder="1"/>
    <xf numFmtId="164" fontId="6" fillId="3" borderId="1" xfId="0" applyNumberFormat="1" applyFont="1" applyFill="1" applyBorder="1"/>
    <xf numFmtId="0" fontId="6" fillId="4" borderId="1" xfId="0" applyFont="1" applyFill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0" fontId="5" fillId="0" borderId="1" xfId="0" applyFont="1" applyBorder="1"/>
    <xf numFmtId="0" fontId="8" fillId="0" borderId="1" xfId="0" applyFont="1" applyBorder="1"/>
    <xf numFmtId="0" fontId="1" fillId="5" borderId="0" xfId="0" applyFont="1" applyFill="1" applyAlignment="1">
      <alignment horizontal="left" vertical="center"/>
    </xf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0" fillId="0" borderId="2" xfId="0" pivotButton="1" applyBorder="1"/>
    <xf numFmtId="0" fontId="0" fillId="0" borderId="2" xfId="0" applyBorder="1"/>
    <xf numFmtId="0" fontId="0" fillId="0" borderId="2" xfId="0" applyBorder="1" applyAlignment="1">
      <alignment horizontal="left"/>
    </xf>
    <xf numFmtId="164" fontId="0" fillId="0" borderId="2" xfId="0" applyNumberFormat="1" applyBorder="1"/>
  </cellXfs>
  <cellStyles count="1">
    <cellStyle name="Normal" xfId="0" builtinId="0"/>
  </cellStyles>
  <dxfs count="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[Excel_Practice_Data.xlsx]Pivot Table Practice!PivotTable1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Practice'!$I$6:$I$7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Practice'!$H$8:$H$12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'Pivot Table Practice'!$I$8:$I$12</c:f>
              <c:numCache>
                <c:formatCode>\₹#,##0</c:formatCode>
                <c:ptCount val="4"/>
                <c:pt idx="0">
                  <c:v>1795000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0-475E-892C-65B9E42E67AB}"/>
            </c:ext>
          </c:extLst>
        </c:ser>
        <c:ser>
          <c:idx val="1"/>
          <c:order val="1"/>
          <c:tx>
            <c:strRef>
              <c:f>'Pivot Table Practice'!$J$6:$J$7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Practice'!$H$8:$H$12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'Pivot Table Practice'!$J$8:$J$12</c:f>
              <c:numCache>
                <c:formatCode>\₹#,##0</c:formatCode>
                <c:ptCount val="4"/>
                <c:pt idx="2">
                  <c:v>1427000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70-475E-892C-65B9E42E67AB}"/>
            </c:ext>
          </c:extLst>
        </c:ser>
        <c:ser>
          <c:idx val="2"/>
          <c:order val="2"/>
          <c:tx>
            <c:strRef>
              <c:f>'Pivot Table Practice'!$K$6:$K$7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 Practice'!$H$8:$H$12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'Pivot Table Practice'!$K$8:$K$12</c:f>
              <c:numCache>
                <c:formatCode>\₹#,##0</c:formatCode>
                <c:ptCount val="4"/>
                <c:pt idx="1">
                  <c:v>1611000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70-475E-892C-65B9E42E67AB}"/>
            </c:ext>
          </c:extLst>
        </c:ser>
        <c:ser>
          <c:idx val="3"/>
          <c:order val="3"/>
          <c:tx>
            <c:strRef>
              <c:f>'Pivot Table Practice'!$L$6:$L$7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 Practice'!$H$8:$H$12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'Pivot Table Practice'!$L$8:$L$12</c:f>
              <c:numCache>
                <c:formatCode>\₹#,##0</c:formatCode>
                <c:ptCount val="4"/>
                <c:pt idx="3">
                  <c:v>1415000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70-475E-892C-65B9E42E6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8391119"/>
        <c:axId val="1328395439"/>
      </c:barChart>
      <c:catAx>
        <c:axId val="132839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395439"/>
        <c:crosses val="autoZero"/>
        <c:auto val="1"/>
        <c:lblAlgn val="ctr"/>
        <c:lblOffset val="100"/>
        <c:noMultiLvlLbl val="0"/>
      </c:catAx>
      <c:valAx>
        <c:axId val="132839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39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 Practice'!$E$4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'Pivot Table Practice'!$A$5:$D$52</c15:sqref>
                  </c15:fullRef>
                  <c15:levelRef>
                    <c15:sqref>'Pivot Table Practice'!$D$5:$D$52</c15:sqref>
                  </c15:levelRef>
                </c:ext>
              </c:extLst>
              <c:f>'Pivot Table Practice'!$D$5:$D$52</c:f>
              <c:strCache>
                <c:ptCount val="48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Jan-2024</c:v>
                </c:pt>
                <c:pt idx="7">
                  <c:v>Feb-2024</c:v>
                </c:pt>
                <c:pt idx="8">
                  <c:v>Mar-2024</c:v>
                </c:pt>
                <c:pt idx="9">
                  <c:v>Apr-2024</c:v>
                </c:pt>
                <c:pt idx="10">
                  <c:v>May-2024</c:v>
                </c:pt>
                <c:pt idx="11">
                  <c:v>Jun-2024</c:v>
                </c:pt>
                <c:pt idx="12">
                  <c:v>Jan-2024</c:v>
                </c:pt>
                <c:pt idx="13">
                  <c:v>Feb-2024</c:v>
                </c:pt>
                <c:pt idx="14">
                  <c:v>Mar-2024</c:v>
                </c:pt>
                <c:pt idx="15">
                  <c:v>Apr-2024</c:v>
                </c:pt>
                <c:pt idx="16">
                  <c:v>May-2024</c:v>
                </c:pt>
                <c:pt idx="17">
                  <c:v>Jun-2024</c:v>
                </c:pt>
                <c:pt idx="18">
                  <c:v>Jan-2024</c:v>
                </c:pt>
                <c:pt idx="19">
                  <c:v>Feb-2024</c:v>
                </c:pt>
                <c:pt idx="20">
                  <c:v>Mar-2024</c:v>
                </c:pt>
                <c:pt idx="21">
                  <c:v>Apr-2024</c:v>
                </c:pt>
                <c:pt idx="22">
                  <c:v>May-2024</c:v>
                </c:pt>
                <c:pt idx="23">
                  <c:v>Jun-2024</c:v>
                </c:pt>
                <c:pt idx="24">
                  <c:v>Jan-2024</c:v>
                </c:pt>
                <c:pt idx="25">
                  <c:v>Feb-2024</c:v>
                </c:pt>
                <c:pt idx="26">
                  <c:v>Mar-2024</c:v>
                </c:pt>
                <c:pt idx="27">
                  <c:v>Apr-2024</c:v>
                </c:pt>
                <c:pt idx="28">
                  <c:v>May-2024</c:v>
                </c:pt>
                <c:pt idx="29">
                  <c:v>Jun-2024</c:v>
                </c:pt>
                <c:pt idx="30">
                  <c:v>Jan-2024</c:v>
                </c:pt>
                <c:pt idx="31">
                  <c:v>Feb-2024</c:v>
                </c:pt>
                <c:pt idx="32">
                  <c:v>Mar-2024</c:v>
                </c:pt>
                <c:pt idx="33">
                  <c:v>Apr-2024</c:v>
                </c:pt>
                <c:pt idx="34">
                  <c:v>May-2024</c:v>
                </c:pt>
                <c:pt idx="35">
                  <c:v>Jun-2024</c:v>
                </c:pt>
                <c:pt idx="36">
                  <c:v>Jan-2024</c:v>
                </c:pt>
                <c:pt idx="37">
                  <c:v>Feb-2024</c:v>
                </c:pt>
                <c:pt idx="38">
                  <c:v>Mar-2024</c:v>
                </c:pt>
                <c:pt idx="39">
                  <c:v>Apr-2024</c:v>
                </c:pt>
                <c:pt idx="40">
                  <c:v>May-2024</c:v>
                </c:pt>
                <c:pt idx="41">
                  <c:v>Jun-2024</c:v>
                </c:pt>
                <c:pt idx="42">
                  <c:v>Jan-2024</c:v>
                </c:pt>
                <c:pt idx="43">
                  <c:v>Feb-2024</c:v>
                </c:pt>
                <c:pt idx="44">
                  <c:v>Mar-2024</c:v>
                </c:pt>
                <c:pt idx="45">
                  <c:v>Apr-2024</c:v>
                </c:pt>
                <c:pt idx="46">
                  <c:v>May-2024</c:v>
                </c:pt>
                <c:pt idx="47">
                  <c:v>Jun-2024</c:v>
                </c:pt>
              </c:strCache>
            </c:strRef>
          </c:cat>
          <c:val>
            <c:numRef>
              <c:f>'Pivot Table Practice'!$E$5:$E$52</c:f>
              <c:numCache>
                <c:formatCode>\₹#,##0</c:formatCode>
                <c:ptCount val="48"/>
                <c:pt idx="0">
                  <c:v>78000</c:v>
                </c:pt>
                <c:pt idx="1">
                  <c:v>120000</c:v>
                </c:pt>
                <c:pt idx="2">
                  <c:v>85000</c:v>
                </c:pt>
                <c:pt idx="3">
                  <c:v>189000</c:v>
                </c:pt>
                <c:pt idx="4">
                  <c:v>158000</c:v>
                </c:pt>
                <c:pt idx="5">
                  <c:v>73000</c:v>
                </c:pt>
                <c:pt idx="6">
                  <c:v>179000</c:v>
                </c:pt>
                <c:pt idx="7">
                  <c:v>193000</c:v>
                </c:pt>
                <c:pt idx="8">
                  <c:v>189000</c:v>
                </c:pt>
                <c:pt idx="9">
                  <c:v>164000</c:v>
                </c:pt>
                <c:pt idx="10">
                  <c:v>51000</c:v>
                </c:pt>
                <c:pt idx="11">
                  <c:v>90000</c:v>
                </c:pt>
                <c:pt idx="12">
                  <c:v>137000</c:v>
                </c:pt>
                <c:pt idx="13">
                  <c:v>105000</c:v>
                </c:pt>
                <c:pt idx="14">
                  <c:v>136000</c:v>
                </c:pt>
                <c:pt idx="15">
                  <c:v>147000</c:v>
                </c:pt>
                <c:pt idx="16">
                  <c:v>138000</c:v>
                </c:pt>
                <c:pt idx="17">
                  <c:v>61000</c:v>
                </c:pt>
                <c:pt idx="18">
                  <c:v>187000</c:v>
                </c:pt>
                <c:pt idx="19">
                  <c:v>146000</c:v>
                </c:pt>
                <c:pt idx="20">
                  <c:v>125000</c:v>
                </c:pt>
                <c:pt idx="21">
                  <c:v>142000</c:v>
                </c:pt>
                <c:pt idx="22">
                  <c:v>67000</c:v>
                </c:pt>
                <c:pt idx="23">
                  <c:v>108000</c:v>
                </c:pt>
                <c:pt idx="24">
                  <c:v>70000</c:v>
                </c:pt>
                <c:pt idx="25">
                  <c:v>75000</c:v>
                </c:pt>
                <c:pt idx="26">
                  <c:v>166000</c:v>
                </c:pt>
                <c:pt idx="27">
                  <c:v>143000</c:v>
                </c:pt>
                <c:pt idx="28">
                  <c:v>140000</c:v>
                </c:pt>
                <c:pt idx="29">
                  <c:v>118000</c:v>
                </c:pt>
                <c:pt idx="30">
                  <c:v>68000</c:v>
                </c:pt>
                <c:pt idx="31">
                  <c:v>93000</c:v>
                </c:pt>
                <c:pt idx="32">
                  <c:v>112000</c:v>
                </c:pt>
                <c:pt idx="33">
                  <c:v>147000</c:v>
                </c:pt>
                <c:pt idx="34">
                  <c:v>192000</c:v>
                </c:pt>
                <c:pt idx="35">
                  <c:v>133000</c:v>
                </c:pt>
                <c:pt idx="36">
                  <c:v>64000</c:v>
                </c:pt>
                <c:pt idx="37">
                  <c:v>58000</c:v>
                </c:pt>
                <c:pt idx="38">
                  <c:v>152000</c:v>
                </c:pt>
                <c:pt idx="39">
                  <c:v>104000</c:v>
                </c:pt>
                <c:pt idx="40">
                  <c:v>195000</c:v>
                </c:pt>
                <c:pt idx="41">
                  <c:v>130000</c:v>
                </c:pt>
                <c:pt idx="42">
                  <c:v>177000</c:v>
                </c:pt>
                <c:pt idx="43">
                  <c:v>167000</c:v>
                </c:pt>
                <c:pt idx="44">
                  <c:v>85000</c:v>
                </c:pt>
                <c:pt idx="45">
                  <c:v>193000</c:v>
                </c:pt>
                <c:pt idx="46">
                  <c:v>199000</c:v>
                </c:pt>
                <c:pt idx="47">
                  <c:v>199000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5B-40C2-8977-94398B7EF5D3}"/>
            </c:ext>
          </c:extLst>
        </c:ser>
        <c:ser>
          <c:idx val="1"/>
          <c:order val="1"/>
          <c:tx>
            <c:strRef>
              <c:f>'Pivot Table Practice'!$F$4</c:f>
              <c:strCache>
                <c:ptCount val="1"/>
                <c:pt idx="0">
                  <c:v>Expenses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'Pivot Table Practice'!$A$5:$D$52</c15:sqref>
                  </c15:fullRef>
                  <c15:levelRef>
                    <c15:sqref>'Pivot Table Practice'!$D$5:$D$52</c15:sqref>
                  </c15:levelRef>
                </c:ext>
              </c:extLst>
              <c:f>'Pivot Table Practice'!$D$5:$D$52</c:f>
              <c:strCache>
                <c:ptCount val="48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Jan-2024</c:v>
                </c:pt>
                <c:pt idx="7">
                  <c:v>Feb-2024</c:v>
                </c:pt>
                <c:pt idx="8">
                  <c:v>Mar-2024</c:v>
                </c:pt>
                <c:pt idx="9">
                  <c:v>Apr-2024</c:v>
                </c:pt>
                <c:pt idx="10">
                  <c:v>May-2024</c:v>
                </c:pt>
                <c:pt idx="11">
                  <c:v>Jun-2024</c:v>
                </c:pt>
                <c:pt idx="12">
                  <c:v>Jan-2024</c:v>
                </c:pt>
                <c:pt idx="13">
                  <c:v>Feb-2024</c:v>
                </c:pt>
                <c:pt idx="14">
                  <c:v>Mar-2024</c:v>
                </c:pt>
                <c:pt idx="15">
                  <c:v>Apr-2024</c:v>
                </c:pt>
                <c:pt idx="16">
                  <c:v>May-2024</c:v>
                </c:pt>
                <c:pt idx="17">
                  <c:v>Jun-2024</c:v>
                </c:pt>
                <c:pt idx="18">
                  <c:v>Jan-2024</c:v>
                </c:pt>
                <c:pt idx="19">
                  <c:v>Feb-2024</c:v>
                </c:pt>
                <c:pt idx="20">
                  <c:v>Mar-2024</c:v>
                </c:pt>
                <c:pt idx="21">
                  <c:v>Apr-2024</c:v>
                </c:pt>
                <c:pt idx="22">
                  <c:v>May-2024</c:v>
                </c:pt>
                <c:pt idx="23">
                  <c:v>Jun-2024</c:v>
                </c:pt>
                <c:pt idx="24">
                  <c:v>Jan-2024</c:v>
                </c:pt>
                <c:pt idx="25">
                  <c:v>Feb-2024</c:v>
                </c:pt>
                <c:pt idx="26">
                  <c:v>Mar-2024</c:v>
                </c:pt>
                <c:pt idx="27">
                  <c:v>Apr-2024</c:v>
                </c:pt>
                <c:pt idx="28">
                  <c:v>May-2024</c:v>
                </c:pt>
                <c:pt idx="29">
                  <c:v>Jun-2024</c:v>
                </c:pt>
                <c:pt idx="30">
                  <c:v>Jan-2024</c:v>
                </c:pt>
                <c:pt idx="31">
                  <c:v>Feb-2024</c:v>
                </c:pt>
                <c:pt idx="32">
                  <c:v>Mar-2024</c:v>
                </c:pt>
                <c:pt idx="33">
                  <c:v>Apr-2024</c:v>
                </c:pt>
                <c:pt idx="34">
                  <c:v>May-2024</c:v>
                </c:pt>
                <c:pt idx="35">
                  <c:v>Jun-2024</c:v>
                </c:pt>
                <c:pt idx="36">
                  <c:v>Jan-2024</c:v>
                </c:pt>
                <c:pt idx="37">
                  <c:v>Feb-2024</c:v>
                </c:pt>
                <c:pt idx="38">
                  <c:v>Mar-2024</c:v>
                </c:pt>
                <c:pt idx="39">
                  <c:v>Apr-2024</c:v>
                </c:pt>
                <c:pt idx="40">
                  <c:v>May-2024</c:v>
                </c:pt>
                <c:pt idx="41">
                  <c:v>Jun-2024</c:v>
                </c:pt>
                <c:pt idx="42">
                  <c:v>Jan-2024</c:v>
                </c:pt>
                <c:pt idx="43">
                  <c:v>Feb-2024</c:v>
                </c:pt>
                <c:pt idx="44">
                  <c:v>Mar-2024</c:v>
                </c:pt>
                <c:pt idx="45">
                  <c:v>Apr-2024</c:v>
                </c:pt>
                <c:pt idx="46">
                  <c:v>May-2024</c:v>
                </c:pt>
                <c:pt idx="47">
                  <c:v>Jun-2024</c:v>
                </c:pt>
              </c:strCache>
            </c:strRef>
          </c:cat>
          <c:val>
            <c:numRef>
              <c:f>'Pivot Table Practice'!$F$5:$F$52</c:f>
              <c:numCache>
                <c:formatCode>\₹#,##0</c:formatCode>
                <c:ptCount val="48"/>
                <c:pt idx="0">
                  <c:v>7995</c:v>
                </c:pt>
                <c:pt idx="1">
                  <c:v>14938</c:v>
                </c:pt>
                <c:pt idx="2">
                  <c:v>14760</c:v>
                </c:pt>
                <c:pt idx="3">
                  <c:v>20543</c:v>
                </c:pt>
                <c:pt idx="4">
                  <c:v>16302</c:v>
                </c:pt>
                <c:pt idx="5">
                  <c:v>8896</c:v>
                </c:pt>
                <c:pt idx="6">
                  <c:v>28676</c:v>
                </c:pt>
                <c:pt idx="7">
                  <c:v>23137</c:v>
                </c:pt>
                <c:pt idx="8">
                  <c:v>26828</c:v>
                </c:pt>
                <c:pt idx="9">
                  <c:v>26063</c:v>
                </c:pt>
                <c:pt idx="10">
                  <c:v>8969</c:v>
                </c:pt>
                <c:pt idx="11">
                  <c:v>15283</c:v>
                </c:pt>
                <c:pt idx="12">
                  <c:v>17506</c:v>
                </c:pt>
                <c:pt idx="13">
                  <c:v>20550</c:v>
                </c:pt>
                <c:pt idx="14">
                  <c:v>14990</c:v>
                </c:pt>
                <c:pt idx="15">
                  <c:v>16121</c:v>
                </c:pt>
                <c:pt idx="16">
                  <c:v>22131</c:v>
                </c:pt>
                <c:pt idx="17">
                  <c:v>10551</c:v>
                </c:pt>
                <c:pt idx="18">
                  <c:v>21034</c:v>
                </c:pt>
                <c:pt idx="19">
                  <c:v>15750</c:v>
                </c:pt>
                <c:pt idx="20">
                  <c:v>22867</c:v>
                </c:pt>
                <c:pt idx="21">
                  <c:v>22398</c:v>
                </c:pt>
                <c:pt idx="22">
                  <c:v>7007</c:v>
                </c:pt>
                <c:pt idx="23">
                  <c:v>19149</c:v>
                </c:pt>
                <c:pt idx="24">
                  <c:v>12987</c:v>
                </c:pt>
                <c:pt idx="25">
                  <c:v>10350</c:v>
                </c:pt>
                <c:pt idx="26">
                  <c:v>27152</c:v>
                </c:pt>
                <c:pt idx="27">
                  <c:v>16625</c:v>
                </c:pt>
                <c:pt idx="28">
                  <c:v>16933</c:v>
                </c:pt>
                <c:pt idx="29">
                  <c:v>20081</c:v>
                </c:pt>
                <c:pt idx="30">
                  <c:v>10942</c:v>
                </c:pt>
                <c:pt idx="31">
                  <c:v>14267</c:v>
                </c:pt>
                <c:pt idx="32">
                  <c:v>13030</c:v>
                </c:pt>
                <c:pt idx="33">
                  <c:v>18668</c:v>
                </c:pt>
                <c:pt idx="34">
                  <c:v>23416</c:v>
                </c:pt>
                <c:pt idx="35">
                  <c:v>24509</c:v>
                </c:pt>
                <c:pt idx="36">
                  <c:v>7865</c:v>
                </c:pt>
                <c:pt idx="37">
                  <c:v>10469</c:v>
                </c:pt>
                <c:pt idx="38">
                  <c:v>19269</c:v>
                </c:pt>
                <c:pt idx="39">
                  <c:v>19896</c:v>
                </c:pt>
                <c:pt idx="40">
                  <c:v>36589</c:v>
                </c:pt>
                <c:pt idx="41">
                  <c:v>15764</c:v>
                </c:pt>
                <c:pt idx="42">
                  <c:v>24702</c:v>
                </c:pt>
                <c:pt idx="43">
                  <c:v>19085</c:v>
                </c:pt>
                <c:pt idx="44">
                  <c:v>10596</c:v>
                </c:pt>
                <c:pt idx="45">
                  <c:v>29702</c:v>
                </c:pt>
                <c:pt idx="46">
                  <c:v>28425</c:v>
                </c:pt>
                <c:pt idx="47">
                  <c:v>27848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5B-40C2-8977-94398B7EF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326773455"/>
        <c:axId val="1326772495"/>
      </c:lineChart>
      <c:catAx>
        <c:axId val="132677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772495"/>
        <c:crosses val="autoZero"/>
        <c:auto val="1"/>
        <c:lblAlgn val="ctr"/>
        <c:lblOffset val="100"/>
        <c:noMultiLvlLbl val="0"/>
      </c:catAx>
      <c:valAx>
        <c:axId val="1326772495"/>
        <c:scaling>
          <c:orientation val="minMax"/>
        </c:scaling>
        <c:delete val="0"/>
        <c:axPos val="l"/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773455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26728</xdr:colOff>
      <xdr:row>17</xdr:row>
      <xdr:rowOff>149412</xdr:rowOff>
    </xdr:from>
    <xdr:to>
      <xdr:col>13</xdr:col>
      <xdr:colOff>1564105</xdr:colOff>
      <xdr:row>44</xdr:row>
      <xdr:rowOff>134470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FACA5F-DCCC-9AEC-F3D6-E27A13E24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2081559</xdr:colOff>
      <xdr:row>9</xdr:row>
      <xdr:rowOff>37168</xdr:rowOff>
    </xdr:from>
    <xdr:to>
      <xdr:col>24</xdr:col>
      <xdr:colOff>194236</xdr:colOff>
      <xdr:row>39</xdr:row>
      <xdr:rowOff>149411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1F92B2-7588-2091-4ABE-486485FC7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Gusain" refreshedDate="46164.541664583332" createdVersion="8" refreshedVersion="8" minRefreshableVersion="3" recordCount="48" xr:uid="{DCF5B909-E079-4B9A-B03B-016BAAB66091}">
  <cacheSource type="worksheet">
    <worksheetSource ref="A4:F52" sheet="Pivot Table Practice"/>
  </cacheSource>
  <cacheFields count="6">
    <cacheField name="Region" numFmtId="0">
      <sharedItems count="4">
        <s v="North"/>
        <s v="South"/>
        <s v="East"/>
        <s v="West"/>
      </sharedItems>
    </cacheField>
    <cacheField name="Department" numFmtId="0">
      <sharedItems count="6">
        <s v="Sales"/>
        <s v="Marketing"/>
        <s v="IT"/>
        <s v="HR"/>
        <s v="Formula1" f="1"/>
        <s v="Formula2" f="1"/>
      </sharedItems>
    </cacheField>
    <cacheField name="Employee" numFmtId="0">
      <sharedItems/>
    </cacheField>
    <cacheField name="Month" numFmtId="0">
      <sharedItems count="6">
        <s v="Jan-2024"/>
        <s v="Feb-2024"/>
        <s v="Mar-2024"/>
        <s v="Apr-2024"/>
        <s v="May-2024"/>
        <s v="Jun-2024"/>
      </sharedItems>
    </cacheField>
    <cacheField name="Sales" numFmtId="164">
      <sharedItems containsSemiMixedTypes="0" containsString="0" containsNumber="1" containsInteger="1" minValue="51000" maxValue="199000"/>
    </cacheField>
    <cacheField name="Expenses" numFmtId="164">
      <sharedItems containsSemiMixedTypes="0" containsString="0" containsNumber="1" containsInteger="1" minValue="7007" maxValue="36589" count="48">
        <n v="7995"/>
        <n v="14938"/>
        <n v="14760"/>
        <n v="20543"/>
        <n v="16302"/>
        <n v="8896"/>
        <n v="28676"/>
        <n v="23137"/>
        <n v="26828"/>
        <n v="26063"/>
        <n v="8969"/>
        <n v="15283"/>
        <n v="17506"/>
        <n v="20550"/>
        <n v="14990"/>
        <n v="16121"/>
        <n v="22131"/>
        <n v="10551"/>
        <n v="21034"/>
        <n v="15750"/>
        <n v="22867"/>
        <n v="22398"/>
        <n v="7007"/>
        <n v="19149"/>
        <n v="12987"/>
        <n v="10350"/>
        <n v="27152"/>
        <n v="16625"/>
        <n v="16933"/>
        <n v="20081"/>
        <n v="10942"/>
        <n v="14267"/>
        <n v="13030"/>
        <n v="18668"/>
        <n v="23416"/>
        <n v="24509"/>
        <n v="7865"/>
        <n v="10469"/>
        <n v="19269"/>
        <n v="19896"/>
        <n v="36589"/>
        <n v="15764"/>
        <n v="24702"/>
        <n v="19085"/>
        <n v="10596"/>
        <n v="29702"/>
        <n v="28425"/>
        <n v="27848"/>
      </sharedItems>
    </cacheField>
  </cacheFields>
  <calculatedItems count="2">
    <calculatedItem>
      <pivotArea cacheIndex="1" outline="0" fieldPosition="0">
        <references count="1">
          <reference field="1" count="1">
            <x v="4"/>
          </reference>
        </references>
      </pivotArea>
    </calculatedItem>
    <calculatedItem>
      <pivotArea cacheIndex="1" outline="0" fieldPosition="0">
        <references count="1">
          <reference field="1" count="1">
            <x v="5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 pivotCacheId="19562497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s v="Amit"/>
    <x v="0"/>
    <n v="78000"/>
    <x v="0"/>
  </r>
  <r>
    <x v="0"/>
    <x v="0"/>
    <s v="Amit"/>
    <x v="1"/>
    <n v="120000"/>
    <x v="1"/>
  </r>
  <r>
    <x v="0"/>
    <x v="0"/>
    <s v="Amit"/>
    <x v="2"/>
    <n v="85000"/>
    <x v="2"/>
  </r>
  <r>
    <x v="0"/>
    <x v="0"/>
    <s v="Amit"/>
    <x v="3"/>
    <n v="189000"/>
    <x v="3"/>
  </r>
  <r>
    <x v="0"/>
    <x v="0"/>
    <s v="Amit"/>
    <x v="4"/>
    <n v="158000"/>
    <x v="4"/>
  </r>
  <r>
    <x v="0"/>
    <x v="0"/>
    <s v="Amit"/>
    <x v="5"/>
    <n v="73000"/>
    <x v="5"/>
  </r>
  <r>
    <x v="1"/>
    <x v="1"/>
    <s v="Priya"/>
    <x v="0"/>
    <n v="179000"/>
    <x v="6"/>
  </r>
  <r>
    <x v="1"/>
    <x v="1"/>
    <s v="Priya"/>
    <x v="1"/>
    <n v="193000"/>
    <x v="7"/>
  </r>
  <r>
    <x v="1"/>
    <x v="1"/>
    <s v="Priya"/>
    <x v="2"/>
    <n v="189000"/>
    <x v="8"/>
  </r>
  <r>
    <x v="1"/>
    <x v="1"/>
    <s v="Priya"/>
    <x v="3"/>
    <n v="164000"/>
    <x v="9"/>
  </r>
  <r>
    <x v="1"/>
    <x v="1"/>
    <s v="Priya"/>
    <x v="4"/>
    <n v="51000"/>
    <x v="10"/>
  </r>
  <r>
    <x v="1"/>
    <x v="1"/>
    <s v="Priya"/>
    <x v="5"/>
    <n v="90000"/>
    <x v="11"/>
  </r>
  <r>
    <x v="2"/>
    <x v="2"/>
    <s v="Rahul"/>
    <x v="0"/>
    <n v="137000"/>
    <x v="12"/>
  </r>
  <r>
    <x v="2"/>
    <x v="2"/>
    <s v="Rahul"/>
    <x v="1"/>
    <n v="105000"/>
    <x v="13"/>
  </r>
  <r>
    <x v="2"/>
    <x v="2"/>
    <s v="Rahul"/>
    <x v="2"/>
    <n v="136000"/>
    <x v="14"/>
  </r>
  <r>
    <x v="2"/>
    <x v="2"/>
    <s v="Rahul"/>
    <x v="3"/>
    <n v="147000"/>
    <x v="15"/>
  </r>
  <r>
    <x v="2"/>
    <x v="2"/>
    <s v="Rahul"/>
    <x v="4"/>
    <n v="138000"/>
    <x v="16"/>
  </r>
  <r>
    <x v="2"/>
    <x v="2"/>
    <s v="Rahul"/>
    <x v="5"/>
    <n v="61000"/>
    <x v="17"/>
  </r>
  <r>
    <x v="3"/>
    <x v="3"/>
    <s v="Sneha"/>
    <x v="0"/>
    <n v="187000"/>
    <x v="18"/>
  </r>
  <r>
    <x v="3"/>
    <x v="3"/>
    <s v="Sneha"/>
    <x v="1"/>
    <n v="146000"/>
    <x v="19"/>
  </r>
  <r>
    <x v="3"/>
    <x v="3"/>
    <s v="Sneha"/>
    <x v="2"/>
    <n v="125000"/>
    <x v="20"/>
  </r>
  <r>
    <x v="3"/>
    <x v="3"/>
    <s v="Sneha"/>
    <x v="3"/>
    <n v="142000"/>
    <x v="21"/>
  </r>
  <r>
    <x v="3"/>
    <x v="3"/>
    <s v="Sneha"/>
    <x v="4"/>
    <n v="67000"/>
    <x v="22"/>
  </r>
  <r>
    <x v="3"/>
    <x v="3"/>
    <s v="Sneha"/>
    <x v="5"/>
    <n v="108000"/>
    <x v="23"/>
  </r>
  <r>
    <x v="0"/>
    <x v="0"/>
    <s v="Vikram"/>
    <x v="0"/>
    <n v="70000"/>
    <x v="24"/>
  </r>
  <r>
    <x v="0"/>
    <x v="0"/>
    <s v="Vikram"/>
    <x v="1"/>
    <n v="75000"/>
    <x v="25"/>
  </r>
  <r>
    <x v="0"/>
    <x v="0"/>
    <s v="Vikram"/>
    <x v="2"/>
    <n v="166000"/>
    <x v="26"/>
  </r>
  <r>
    <x v="0"/>
    <x v="0"/>
    <s v="Vikram"/>
    <x v="3"/>
    <n v="143000"/>
    <x v="27"/>
  </r>
  <r>
    <x v="0"/>
    <x v="0"/>
    <s v="Vikram"/>
    <x v="4"/>
    <n v="140000"/>
    <x v="28"/>
  </r>
  <r>
    <x v="0"/>
    <x v="0"/>
    <s v="Vikram"/>
    <x v="5"/>
    <n v="118000"/>
    <x v="29"/>
  </r>
  <r>
    <x v="1"/>
    <x v="1"/>
    <s v="Anjali"/>
    <x v="0"/>
    <n v="68000"/>
    <x v="30"/>
  </r>
  <r>
    <x v="1"/>
    <x v="1"/>
    <s v="Anjali"/>
    <x v="1"/>
    <n v="93000"/>
    <x v="31"/>
  </r>
  <r>
    <x v="1"/>
    <x v="1"/>
    <s v="Anjali"/>
    <x v="2"/>
    <n v="112000"/>
    <x v="32"/>
  </r>
  <r>
    <x v="1"/>
    <x v="1"/>
    <s v="Anjali"/>
    <x v="3"/>
    <n v="147000"/>
    <x v="33"/>
  </r>
  <r>
    <x v="1"/>
    <x v="1"/>
    <s v="Anjali"/>
    <x v="4"/>
    <n v="192000"/>
    <x v="34"/>
  </r>
  <r>
    <x v="1"/>
    <x v="1"/>
    <s v="Anjali"/>
    <x v="5"/>
    <n v="133000"/>
    <x v="35"/>
  </r>
  <r>
    <x v="2"/>
    <x v="2"/>
    <s v="Ravi"/>
    <x v="0"/>
    <n v="64000"/>
    <x v="36"/>
  </r>
  <r>
    <x v="2"/>
    <x v="2"/>
    <s v="Ravi"/>
    <x v="1"/>
    <n v="58000"/>
    <x v="37"/>
  </r>
  <r>
    <x v="2"/>
    <x v="2"/>
    <s v="Ravi"/>
    <x v="2"/>
    <n v="152000"/>
    <x v="38"/>
  </r>
  <r>
    <x v="2"/>
    <x v="2"/>
    <s v="Ravi"/>
    <x v="3"/>
    <n v="104000"/>
    <x v="39"/>
  </r>
  <r>
    <x v="2"/>
    <x v="2"/>
    <s v="Ravi"/>
    <x v="4"/>
    <n v="195000"/>
    <x v="40"/>
  </r>
  <r>
    <x v="2"/>
    <x v="2"/>
    <s v="Ravi"/>
    <x v="5"/>
    <n v="130000"/>
    <x v="41"/>
  </r>
  <r>
    <x v="3"/>
    <x v="3"/>
    <s v="Deepika"/>
    <x v="0"/>
    <n v="177000"/>
    <x v="42"/>
  </r>
  <r>
    <x v="3"/>
    <x v="3"/>
    <s v="Deepika"/>
    <x v="1"/>
    <n v="167000"/>
    <x v="43"/>
  </r>
  <r>
    <x v="3"/>
    <x v="3"/>
    <s v="Deepika"/>
    <x v="2"/>
    <n v="85000"/>
    <x v="44"/>
  </r>
  <r>
    <x v="3"/>
    <x v="3"/>
    <s v="Deepika"/>
    <x v="3"/>
    <n v="193000"/>
    <x v="45"/>
  </r>
  <r>
    <x v="3"/>
    <x v="3"/>
    <s v="Deepika"/>
    <x v="4"/>
    <n v="199000"/>
    <x v="46"/>
  </r>
  <r>
    <x v="3"/>
    <x v="3"/>
    <s v="Deepika"/>
    <x v="5"/>
    <n v="199000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F0D72-5848-4974-8BCF-1940E04D5D94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6:M12" firstHeaderRow="1" firstDataRow="2" firstDataCol="1" rowPageCount="1" colPageCount="1"/>
  <pivotFields count="6"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sortType="ascending">
      <items count="7">
        <item h="1" f="1" x="4"/>
        <item h="1" f="1" x="5"/>
        <item x="3"/>
        <item x="2"/>
        <item x="1"/>
        <item x="0"/>
        <item t="default"/>
      </items>
    </pivotField>
    <pivotField showAll="0"/>
    <pivotField axis="axisPage" multipleItemSelectionAllowed="1" showAll="0">
      <items count="7">
        <item x="3"/>
        <item x="1"/>
        <item x="0"/>
        <item x="5"/>
        <item x="2"/>
        <item x="4"/>
        <item t="default"/>
      </items>
    </pivotField>
    <pivotField dataField="1" numFmtId="164" showAll="0"/>
    <pivotField numFmtId="164" showAll="0">
      <items count="49">
        <item x="22"/>
        <item x="36"/>
        <item x="0"/>
        <item x="5"/>
        <item x="10"/>
        <item x="25"/>
        <item x="37"/>
        <item x="17"/>
        <item x="44"/>
        <item x="30"/>
        <item x="24"/>
        <item x="32"/>
        <item x="31"/>
        <item x="2"/>
        <item x="1"/>
        <item x="14"/>
        <item x="11"/>
        <item x="19"/>
        <item x="41"/>
        <item x="15"/>
        <item x="4"/>
        <item x="27"/>
        <item x="28"/>
        <item x="12"/>
        <item x="33"/>
        <item x="43"/>
        <item x="23"/>
        <item x="38"/>
        <item x="39"/>
        <item x="29"/>
        <item x="3"/>
        <item x="13"/>
        <item x="18"/>
        <item x="16"/>
        <item x="21"/>
        <item x="20"/>
        <item x="7"/>
        <item x="34"/>
        <item x="35"/>
        <item x="42"/>
        <item x="9"/>
        <item x="8"/>
        <item x="26"/>
        <item x="47"/>
        <item x="46"/>
        <item x="6"/>
        <item x="45"/>
        <item x="40"/>
        <item t="default"/>
      </items>
    </pivotField>
  </pivotFields>
  <rowFields count="1">
    <field x="0"/>
  </rowFields>
  <rowItems count="5">
    <i>
      <x v="3"/>
    </i>
    <i>
      <x v="2"/>
    </i>
    <i>
      <x/>
    </i>
    <i>
      <x v="1"/>
    </i>
    <i t="grand">
      <x/>
    </i>
  </rowItems>
  <colFields count="1">
    <field x="1"/>
  </colFields>
  <colItems count="5">
    <i>
      <x v="2"/>
    </i>
    <i>
      <x v="3"/>
    </i>
    <i>
      <x v="4"/>
    </i>
    <i>
      <x v="5"/>
    </i>
    <i t="grand">
      <x/>
    </i>
  </colItems>
  <pageFields count="1">
    <pageField fld="3" hier="-1"/>
  </pageFields>
  <dataFields count="1">
    <dataField name="Sum of Sales" fld="4" baseField="0" baseItem="0" numFmtId="164"/>
  </dataFields>
  <formats count="1">
    <format dxfId="4">
      <pivotArea type="all" dataOnly="0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showGridLines="0" topLeftCell="A3" zoomScale="81" zoomScaleNormal="99" workbookViewId="0">
      <selection activeCell="I29" sqref="I29"/>
    </sheetView>
  </sheetViews>
  <sheetFormatPr defaultRowHeight="14.4" x14ac:dyDescent="0.3"/>
  <cols>
    <col min="1" max="1" width="8" customWidth="1"/>
    <col min="2" max="2" width="18" customWidth="1"/>
    <col min="3" max="3" width="14" customWidth="1"/>
    <col min="4" max="5" width="10" customWidth="1"/>
    <col min="6" max="8" width="14" customWidth="1"/>
    <col min="9" max="9" width="16" customWidth="1"/>
    <col min="10" max="10" width="10" customWidth="1"/>
    <col min="11" max="11" width="10.109375" customWidth="1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132</v>
      </c>
    </row>
    <row r="2" spans="1:11" x14ac:dyDescent="0.3">
      <c r="A2" s="2" t="s">
        <v>10</v>
      </c>
      <c r="B2" s="2" t="s">
        <v>11</v>
      </c>
      <c r="C2" s="2" t="s">
        <v>5</v>
      </c>
      <c r="D2" s="2" t="s">
        <v>12</v>
      </c>
      <c r="E2" s="2" t="s">
        <v>13</v>
      </c>
      <c r="F2" s="3">
        <v>120000</v>
      </c>
      <c r="G2" s="3">
        <v>100000</v>
      </c>
      <c r="H2" s="3">
        <v>15000</v>
      </c>
      <c r="I2" s="4" t="s">
        <v>14</v>
      </c>
      <c r="J2" s="2">
        <v>4.2</v>
      </c>
      <c r="K2" s="3">
        <f>F2-H2</f>
        <v>105000</v>
      </c>
    </row>
    <row r="3" spans="1:11" x14ac:dyDescent="0.3">
      <c r="A3" s="5" t="s">
        <v>15</v>
      </c>
      <c r="B3" s="5" t="s">
        <v>16</v>
      </c>
      <c r="C3" s="5" t="s">
        <v>17</v>
      </c>
      <c r="D3" s="5" t="s">
        <v>18</v>
      </c>
      <c r="E3" s="5" t="s">
        <v>13</v>
      </c>
      <c r="F3" s="6">
        <v>85000</v>
      </c>
      <c r="G3" s="6">
        <v>90000</v>
      </c>
      <c r="H3" s="6">
        <v>12000</v>
      </c>
      <c r="I3" s="7" t="s">
        <v>19</v>
      </c>
      <c r="J3" s="5">
        <v>3.8</v>
      </c>
      <c r="K3" s="3">
        <f t="shared" ref="K3:K26" si="0">F3-H3</f>
        <v>73000</v>
      </c>
    </row>
    <row r="4" spans="1:11" x14ac:dyDescent="0.3">
      <c r="A4" s="2" t="s">
        <v>20</v>
      </c>
      <c r="B4" s="2" t="s">
        <v>21</v>
      </c>
      <c r="C4" s="2" t="s">
        <v>5</v>
      </c>
      <c r="D4" s="2" t="s">
        <v>22</v>
      </c>
      <c r="E4" s="2" t="s">
        <v>13</v>
      </c>
      <c r="F4" s="3">
        <v>150000</v>
      </c>
      <c r="G4" s="3">
        <v>130000</v>
      </c>
      <c r="H4" s="3">
        <v>18000</v>
      </c>
      <c r="I4" s="4" t="s">
        <v>23</v>
      </c>
      <c r="J4" s="2">
        <v>4.7</v>
      </c>
      <c r="K4" s="3">
        <f t="shared" si="0"/>
        <v>132000</v>
      </c>
    </row>
    <row r="5" spans="1:11" x14ac:dyDescent="0.3">
      <c r="A5" s="5" t="s">
        <v>24</v>
      </c>
      <c r="B5" s="5" t="s">
        <v>25</v>
      </c>
      <c r="C5" s="5" t="s">
        <v>26</v>
      </c>
      <c r="D5" s="5" t="s">
        <v>27</v>
      </c>
      <c r="E5" s="5" t="s">
        <v>13</v>
      </c>
      <c r="F5" s="6">
        <v>60000</v>
      </c>
      <c r="G5" s="6">
        <v>60000</v>
      </c>
      <c r="H5" s="6">
        <v>8000</v>
      </c>
      <c r="I5" s="7" t="s">
        <v>28</v>
      </c>
      <c r="J5" s="5">
        <v>4</v>
      </c>
      <c r="K5" s="3">
        <f t="shared" si="0"/>
        <v>52000</v>
      </c>
    </row>
    <row r="6" spans="1:11" x14ac:dyDescent="0.3">
      <c r="A6" s="2" t="s">
        <v>29</v>
      </c>
      <c r="B6" s="2" t="s">
        <v>30</v>
      </c>
      <c r="C6" s="2" t="s">
        <v>5</v>
      </c>
      <c r="D6" s="2" t="s">
        <v>12</v>
      </c>
      <c r="E6" s="2" t="s">
        <v>13</v>
      </c>
      <c r="F6" s="3">
        <v>95000</v>
      </c>
      <c r="G6" s="3">
        <v>100000</v>
      </c>
      <c r="H6" s="3">
        <v>14000</v>
      </c>
      <c r="I6" s="4" t="s">
        <v>31</v>
      </c>
      <c r="J6" s="2">
        <v>3.5</v>
      </c>
      <c r="K6" s="3">
        <f t="shared" si="0"/>
        <v>81000</v>
      </c>
    </row>
    <row r="7" spans="1:11" x14ac:dyDescent="0.3">
      <c r="A7" s="5" t="s">
        <v>32</v>
      </c>
      <c r="B7" s="5" t="s">
        <v>33</v>
      </c>
      <c r="C7" s="5" t="s">
        <v>34</v>
      </c>
      <c r="D7" s="5" t="s">
        <v>18</v>
      </c>
      <c r="E7" s="5" t="s">
        <v>13</v>
      </c>
      <c r="F7" s="6">
        <v>55000</v>
      </c>
      <c r="G7" s="6">
        <v>55000</v>
      </c>
      <c r="H7" s="6">
        <v>7000</v>
      </c>
      <c r="I7" s="7" t="s">
        <v>35</v>
      </c>
      <c r="J7" s="5">
        <v>4.0999999999999996</v>
      </c>
      <c r="K7" s="3">
        <f t="shared" si="0"/>
        <v>48000</v>
      </c>
    </row>
    <row r="8" spans="1:11" x14ac:dyDescent="0.3">
      <c r="A8" s="2" t="s">
        <v>36</v>
      </c>
      <c r="B8" s="2" t="s">
        <v>37</v>
      </c>
      <c r="C8" s="2" t="s">
        <v>5</v>
      </c>
      <c r="D8" s="2" t="s">
        <v>22</v>
      </c>
      <c r="E8" s="2" t="s">
        <v>13</v>
      </c>
      <c r="F8" s="3">
        <v>175000</v>
      </c>
      <c r="G8" s="3">
        <v>150000</v>
      </c>
      <c r="H8" s="3">
        <v>22000</v>
      </c>
      <c r="I8" s="4" t="s">
        <v>38</v>
      </c>
      <c r="J8" s="2">
        <v>4.9000000000000004</v>
      </c>
      <c r="K8" s="3">
        <f t="shared" si="0"/>
        <v>153000</v>
      </c>
    </row>
    <row r="9" spans="1:11" x14ac:dyDescent="0.3">
      <c r="A9" s="5" t="s">
        <v>39</v>
      </c>
      <c r="B9" s="5" t="s">
        <v>40</v>
      </c>
      <c r="C9" s="5" t="s">
        <v>17</v>
      </c>
      <c r="D9" s="5" t="s">
        <v>27</v>
      </c>
      <c r="E9" s="5" t="s">
        <v>13</v>
      </c>
      <c r="F9" s="6">
        <v>70000</v>
      </c>
      <c r="G9" s="6">
        <v>75000</v>
      </c>
      <c r="H9" s="6">
        <v>10000</v>
      </c>
      <c r="I9" s="7" t="s">
        <v>41</v>
      </c>
      <c r="J9" s="5">
        <v>3.6</v>
      </c>
      <c r="K9" s="3">
        <f t="shared" si="0"/>
        <v>60000</v>
      </c>
    </row>
    <row r="10" spans="1:11" x14ac:dyDescent="0.3">
      <c r="A10" s="2" t="s">
        <v>42</v>
      </c>
      <c r="B10" s="2" t="s">
        <v>43</v>
      </c>
      <c r="C10" s="2" t="s">
        <v>26</v>
      </c>
      <c r="D10" s="2" t="s">
        <v>12</v>
      </c>
      <c r="E10" s="2" t="s">
        <v>13</v>
      </c>
      <c r="F10" s="3">
        <v>65000</v>
      </c>
      <c r="G10" s="3">
        <v>60000</v>
      </c>
      <c r="H10" s="3">
        <v>9000</v>
      </c>
      <c r="I10" s="4" t="s">
        <v>44</v>
      </c>
      <c r="J10" s="2">
        <v>4.3</v>
      </c>
      <c r="K10" s="3">
        <f t="shared" si="0"/>
        <v>56000</v>
      </c>
    </row>
    <row r="11" spans="1:11" x14ac:dyDescent="0.3">
      <c r="A11" s="5" t="s">
        <v>45</v>
      </c>
      <c r="B11" s="5" t="s">
        <v>46</v>
      </c>
      <c r="C11" s="5" t="s">
        <v>5</v>
      </c>
      <c r="D11" s="5" t="s">
        <v>18</v>
      </c>
      <c r="E11" s="5" t="s">
        <v>13</v>
      </c>
      <c r="F11" s="6">
        <v>110000</v>
      </c>
      <c r="G11" s="6">
        <v>100000</v>
      </c>
      <c r="H11" s="6">
        <v>16000</v>
      </c>
      <c r="I11" s="7" t="s">
        <v>47</v>
      </c>
      <c r="J11" s="5">
        <v>4</v>
      </c>
      <c r="K11" s="3">
        <f t="shared" si="0"/>
        <v>94000</v>
      </c>
    </row>
    <row r="12" spans="1:11" x14ac:dyDescent="0.3">
      <c r="A12" s="2" t="s">
        <v>48</v>
      </c>
      <c r="B12" s="2" t="s">
        <v>49</v>
      </c>
      <c r="C12" s="2" t="s">
        <v>5</v>
      </c>
      <c r="D12" s="2" t="s">
        <v>27</v>
      </c>
      <c r="E12" s="2" t="s">
        <v>50</v>
      </c>
      <c r="F12" s="3">
        <v>130000</v>
      </c>
      <c r="G12" s="3">
        <v>110000</v>
      </c>
      <c r="H12" s="3">
        <v>17000</v>
      </c>
      <c r="I12" s="4" t="s">
        <v>14</v>
      </c>
      <c r="J12" s="2">
        <v>4.4000000000000004</v>
      </c>
      <c r="K12" s="3">
        <f t="shared" si="0"/>
        <v>113000</v>
      </c>
    </row>
    <row r="13" spans="1:11" x14ac:dyDescent="0.3">
      <c r="A13" s="5" t="s">
        <v>51</v>
      </c>
      <c r="B13" s="5" t="s">
        <v>52</v>
      </c>
      <c r="C13" s="5" t="s">
        <v>17</v>
      </c>
      <c r="D13" s="5" t="s">
        <v>22</v>
      </c>
      <c r="E13" s="5" t="s">
        <v>50</v>
      </c>
      <c r="F13" s="6">
        <v>90000</v>
      </c>
      <c r="G13" s="6">
        <v>85000</v>
      </c>
      <c r="H13" s="6">
        <v>13000</v>
      </c>
      <c r="I13" s="7" t="s">
        <v>19</v>
      </c>
      <c r="J13" s="5">
        <v>3.9</v>
      </c>
      <c r="K13" s="3">
        <f t="shared" si="0"/>
        <v>77000</v>
      </c>
    </row>
    <row r="14" spans="1:11" x14ac:dyDescent="0.3">
      <c r="A14" s="2" t="s">
        <v>53</v>
      </c>
      <c r="B14" s="2" t="s">
        <v>54</v>
      </c>
      <c r="C14" s="2" t="s">
        <v>5</v>
      </c>
      <c r="D14" s="2" t="s">
        <v>12</v>
      </c>
      <c r="E14" s="2" t="s">
        <v>50</v>
      </c>
      <c r="F14" s="3">
        <v>160000</v>
      </c>
      <c r="G14" s="3">
        <v>140000</v>
      </c>
      <c r="H14" s="3">
        <v>20000</v>
      </c>
      <c r="I14" s="4" t="s">
        <v>23</v>
      </c>
      <c r="J14" s="2">
        <v>4.8</v>
      </c>
      <c r="K14" s="3">
        <f t="shared" si="0"/>
        <v>140000</v>
      </c>
    </row>
    <row r="15" spans="1:11" x14ac:dyDescent="0.3">
      <c r="A15" s="5" t="s">
        <v>55</v>
      </c>
      <c r="B15" s="5" t="s">
        <v>56</v>
      </c>
      <c r="C15" s="5" t="s">
        <v>26</v>
      </c>
      <c r="D15" s="5" t="s">
        <v>18</v>
      </c>
      <c r="E15" s="5" t="s">
        <v>50</v>
      </c>
      <c r="F15" s="6">
        <v>62000</v>
      </c>
      <c r="G15" s="6">
        <v>60000</v>
      </c>
      <c r="H15" s="6">
        <v>8500</v>
      </c>
      <c r="I15" s="7" t="s">
        <v>28</v>
      </c>
      <c r="J15" s="5">
        <v>4.2</v>
      </c>
      <c r="K15" s="3">
        <f t="shared" si="0"/>
        <v>53500</v>
      </c>
    </row>
    <row r="16" spans="1:11" x14ac:dyDescent="0.3">
      <c r="A16" s="2" t="s">
        <v>57</v>
      </c>
      <c r="B16" s="2" t="s">
        <v>58</v>
      </c>
      <c r="C16" s="2" t="s">
        <v>5</v>
      </c>
      <c r="D16" s="2" t="s">
        <v>22</v>
      </c>
      <c r="E16" s="2" t="s">
        <v>50</v>
      </c>
      <c r="F16" s="3">
        <v>105000</v>
      </c>
      <c r="G16" s="3">
        <v>100000</v>
      </c>
      <c r="H16" s="3">
        <v>15000</v>
      </c>
      <c r="I16" s="4" t="s">
        <v>31</v>
      </c>
      <c r="J16" s="2">
        <v>3.7</v>
      </c>
      <c r="K16" s="3">
        <f t="shared" si="0"/>
        <v>90000</v>
      </c>
    </row>
    <row r="17" spans="1:11" x14ac:dyDescent="0.3">
      <c r="A17" s="5" t="s">
        <v>59</v>
      </c>
      <c r="B17" s="5" t="s">
        <v>60</v>
      </c>
      <c r="C17" s="5" t="s">
        <v>34</v>
      </c>
      <c r="D17" s="5" t="s">
        <v>27</v>
      </c>
      <c r="E17" s="5" t="s">
        <v>50</v>
      </c>
      <c r="F17" s="6">
        <v>58000</v>
      </c>
      <c r="G17" s="6">
        <v>55000</v>
      </c>
      <c r="H17" s="6">
        <v>7500</v>
      </c>
      <c r="I17" s="7" t="s">
        <v>35</v>
      </c>
      <c r="J17" s="5">
        <v>4</v>
      </c>
      <c r="K17" s="3">
        <f t="shared" si="0"/>
        <v>50500</v>
      </c>
    </row>
    <row r="18" spans="1:11" x14ac:dyDescent="0.3">
      <c r="A18" s="2" t="s">
        <v>61</v>
      </c>
      <c r="B18" s="2" t="s">
        <v>62</v>
      </c>
      <c r="C18" s="2" t="s">
        <v>5</v>
      </c>
      <c r="D18" s="2" t="s">
        <v>12</v>
      </c>
      <c r="E18" s="2" t="s">
        <v>50</v>
      </c>
      <c r="F18" s="3">
        <v>185000</v>
      </c>
      <c r="G18" s="3">
        <v>160000</v>
      </c>
      <c r="H18" s="3">
        <v>24000</v>
      </c>
      <c r="I18" s="4" t="s">
        <v>38</v>
      </c>
      <c r="J18" s="2">
        <v>4.9000000000000004</v>
      </c>
      <c r="K18" s="3">
        <f t="shared" si="0"/>
        <v>161000</v>
      </c>
    </row>
    <row r="19" spans="1:11" x14ac:dyDescent="0.3">
      <c r="A19" s="5" t="s">
        <v>63</v>
      </c>
      <c r="B19" s="5" t="s">
        <v>64</v>
      </c>
      <c r="C19" s="5" t="s">
        <v>17</v>
      </c>
      <c r="D19" s="5" t="s">
        <v>18</v>
      </c>
      <c r="E19" s="5" t="s">
        <v>50</v>
      </c>
      <c r="F19" s="6">
        <v>75000</v>
      </c>
      <c r="G19" s="6">
        <v>75000</v>
      </c>
      <c r="H19" s="6">
        <v>11000</v>
      </c>
      <c r="I19" s="7" t="s">
        <v>41</v>
      </c>
      <c r="J19" s="5">
        <v>3.8</v>
      </c>
      <c r="K19" s="3">
        <f t="shared" si="0"/>
        <v>64000</v>
      </c>
    </row>
    <row r="20" spans="1:11" x14ac:dyDescent="0.3">
      <c r="A20" s="2" t="s">
        <v>65</v>
      </c>
      <c r="B20" s="2" t="s">
        <v>66</v>
      </c>
      <c r="C20" s="2" t="s">
        <v>26</v>
      </c>
      <c r="D20" s="2" t="s">
        <v>22</v>
      </c>
      <c r="E20" s="2" t="s">
        <v>50</v>
      </c>
      <c r="F20" s="3">
        <v>68000</v>
      </c>
      <c r="G20" s="3">
        <v>65000</v>
      </c>
      <c r="H20" s="3">
        <v>9500</v>
      </c>
      <c r="I20" s="4" t="s">
        <v>44</v>
      </c>
      <c r="J20" s="2">
        <v>4.0999999999999996</v>
      </c>
      <c r="K20" s="3">
        <f t="shared" si="0"/>
        <v>58500</v>
      </c>
    </row>
    <row r="21" spans="1:11" x14ac:dyDescent="0.3">
      <c r="A21" s="5" t="s">
        <v>67</v>
      </c>
      <c r="B21" s="5" t="s">
        <v>68</v>
      </c>
      <c r="C21" s="5" t="s">
        <v>5</v>
      </c>
      <c r="D21" s="5" t="s">
        <v>27</v>
      </c>
      <c r="E21" s="5" t="s">
        <v>50</v>
      </c>
      <c r="F21" s="6">
        <v>120000</v>
      </c>
      <c r="G21" s="6">
        <v>110000</v>
      </c>
      <c r="H21" s="6">
        <v>17000</v>
      </c>
      <c r="I21" s="7" t="s">
        <v>47</v>
      </c>
      <c r="J21" s="5">
        <v>4.2</v>
      </c>
      <c r="K21" s="3">
        <f t="shared" si="0"/>
        <v>103000</v>
      </c>
    </row>
    <row r="22" spans="1:11" x14ac:dyDescent="0.3">
      <c r="A22" s="2" t="s">
        <v>10</v>
      </c>
      <c r="B22" s="2" t="s">
        <v>11</v>
      </c>
      <c r="C22" s="2" t="s">
        <v>5</v>
      </c>
      <c r="D22" s="2" t="s">
        <v>12</v>
      </c>
      <c r="E22" s="2" t="s">
        <v>69</v>
      </c>
      <c r="F22" s="3">
        <v>135000</v>
      </c>
      <c r="G22" s="3">
        <v>110000</v>
      </c>
      <c r="H22" s="3">
        <v>16000</v>
      </c>
      <c r="I22" s="4" t="s">
        <v>14</v>
      </c>
      <c r="J22" s="2">
        <v>4.3</v>
      </c>
      <c r="K22" s="3">
        <f t="shared" si="0"/>
        <v>119000</v>
      </c>
    </row>
    <row r="23" spans="1:11" x14ac:dyDescent="0.3">
      <c r="A23" s="5" t="s">
        <v>20</v>
      </c>
      <c r="B23" s="5" t="s">
        <v>21</v>
      </c>
      <c r="C23" s="5" t="s">
        <v>5</v>
      </c>
      <c r="D23" s="5" t="s">
        <v>22</v>
      </c>
      <c r="E23" s="5" t="s">
        <v>69</v>
      </c>
      <c r="F23" s="6">
        <v>165000</v>
      </c>
      <c r="G23" s="6">
        <v>140000</v>
      </c>
      <c r="H23" s="6">
        <v>19000</v>
      </c>
      <c r="I23" s="7" t="s">
        <v>23</v>
      </c>
      <c r="J23" s="5">
        <v>4.8</v>
      </c>
      <c r="K23" s="3">
        <f t="shared" si="0"/>
        <v>146000</v>
      </c>
    </row>
    <row r="24" spans="1:11" x14ac:dyDescent="0.3">
      <c r="A24" s="2" t="s">
        <v>29</v>
      </c>
      <c r="B24" s="2" t="s">
        <v>30</v>
      </c>
      <c r="C24" s="2" t="s">
        <v>5</v>
      </c>
      <c r="D24" s="2" t="s">
        <v>12</v>
      </c>
      <c r="E24" s="2" t="s">
        <v>69</v>
      </c>
      <c r="F24" s="3">
        <v>100000</v>
      </c>
      <c r="G24" s="3">
        <v>100000</v>
      </c>
      <c r="H24" s="3">
        <v>14500</v>
      </c>
      <c r="I24" s="4" t="s">
        <v>31</v>
      </c>
      <c r="J24" s="2">
        <v>3.9</v>
      </c>
      <c r="K24" s="3">
        <f t="shared" si="0"/>
        <v>85500</v>
      </c>
    </row>
    <row r="25" spans="1:11" x14ac:dyDescent="0.3">
      <c r="A25" s="5" t="s">
        <v>36</v>
      </c>
      <c r="B25" s="5" t="s">
        <v>37</v>
      </c>
      <c r="C25" s="5" t="s">
        <v>5</v>
      </c>
      <c r="D25" s="5" t="s">
        <v>22</v>
      </c>
      <c r="E25" s="5" t="s">
        <v>69</v>
      </c>
      <c r="F25" s="6">
        <v>190000</v>
      </c>
      <c r="G25" s="6">
        <v>160000</v>
      </c>
      <c r="H25" s="6">
        <v>23000</v>
      </c>
      <c r="I25" s="7" t="s">
        <v>38</v>
      </c>
      <c r="J25" s="5">
        <v>5</v>
      </c>
      <c r="K25" s="3">
        <f t="shared" si="0"/>
        <v>167000</v>
      </c>
    </row>
    <row r="26" spans="1:11" x14ac:dyDescent="0.3">
      <c r="A26" s="2" t="s">
        <v>45</v>
      </c>
      <c r="B26" s="2" t="s">
        <v>46</v>
      </c>
      <c r="C26" s="2" t="s">
        <v>5</v>
      </c>
      <c r="D26" s="2" t="s">
        <v>18</v>
      </c>
      <c r="E26" s="2" t="s">
        <v>69</v>
      </c>
      <c r="F26" s="3">
        <v>125000</v>
      </c>
      <c r="G26" s="3">
        <v>110000</v>
      </c>
      <c r="H26" s="3">
        <v>17500</v>
      </c>
      <c r="I26" s="4" t="s">
        <v>47</v>
      </c>
      <c r="J26" s="2">
        <v>4.3</v>
      </c>
      <c r="K26" s="3">
        <f t="shared" si="0"/>
        <v>107500</v>
      </c>
    </row>
    <row r="28" spans="1:11" x14ac:dyDescent="0.3">
      <c r="A28" s="30" t="s">
        <v>131</v>
      </c>
      <c r="B28" s="30">
        <f>COUNTA(B2:B26)</f>
        <v>25</v>
      </c>
      <c r="E28" s="30" t="s">
        <v>127</v>
      </c>
      <c r="F28" s="32">
        <f>SUM(F2:F26)</f>
        <v>2753000</v>
      </c>
    </row>
    <row r="29" spans="1:11" x14ac:dyDescent="0.3">
      <c r="E29" s="30" t="s">
        <v>128</v>
      </c>
      <c r="F29" s="32">
        <f>AVERAGE(F2:F26)</f>
        <v>110120</v>
      </c>
    </row>
    <row r="30" spans="1:11" x14ac:dyDescent="0.3">
      <c r="E30" s="30" t="s">
        <v>129</v>
      </c>
      <c r="F30" s="32">
        <f>MAX(F2:F26)</f>
        <v>190000</v>
      </c>
    </row>
    <row r="31" spans="1:11" x14ac:dyDescent="0.3">
      <c r="E31" s="30" t="s">
        <v>130</v>
      </c>
      <c r="F31" s="32">
        <f>MIN(F2:F26)</f>
        <v>55000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showGridLines="0" topLeftCell="A3" workbookViewId="0">
      <selection activeCell="D21" sqref="D21"/>
    </sheetView>
  </sheetViews>
  <sheetFormatPr defaultRowHeight="14.4" x14ac:dyDescent="0.3"/>
  <cols>
    <col min="1" max="1" width="16" customWidth="1"/>
    <col min="2" max="2" width="14" customWidth="1"/>
    <col min="3" max="3" width="16" customWidth="1"/>
    <col min="4" max="4" width="18" customWidth="1"/>
    <col min="5" max="5" width="16" customWidth="1"/>
    <col min="6" max="6" width="10" customWidth="1"/>
  </cols>
  <sheetData>
    <row r="1" spans="1:6" ht="34.950000000000003" customHeight="1" x14ac:dyDescent="0.3">
      <c r="A1" s="26" t="s">
        <v>70</v>
      </c>
      <c r="B1" s="25"/>
      <c r="C1" s="25"/>
      <c r="D1" s="25"/>
      <c r="E1" s="25"/>
      <c r="F1" s="25"/>
    </row>
    <row r="3" spans="1:6" ht="22.05" customHeight="1" x14ac:dyDescent="0.3">
      <c r="A3" s="24" t="s">
        <v>71</v>
      </c>
      <c r="B3" s="25"/>
      <c r="C3" s="25"/>
      <c r="D3" s="25"/>
      <c r="E3" s="25"/>
      <c r="F3" s="25"/>
    </row>
    <row r="4" spans="1:6" ht="27.6" x14ac:dyDescent="0.3">
      <c r="A4" s="1" t="s">
        <v>4</v>
      </c>
      <c r="B4" s="1" t="s">
        <v>5</v>
      </c>
      <c r="C4" s="1" t="s">
        <v>6</v>
      </c>
      <c r="D4" s="1" t="s">
        <v>72</v>
      </c>
      <c r="E4" s="1" t="s">
        <v>73</v>
      </c>
      <c r="F4" s="1" t="s">
        <v>74</v>
      </c>
    </row>
    <row r="5" spans="1:6" x14ac:dyDescent="0.3">
      <c r="A5" s="2" t="s">
        <v>75</v>
      </c>
      <c r="B5" s="3">
        <v>120000</v>
      </c>
      <c r="C5" s="3">
        <v>100000</v>
      </c>
      <c r="D5" s="3">
        <f t="shared" ref="D5:D10" si="0">B5-C5</f>
        <v>20000</v>
      </c>
      <c r="E5" s="8">
        <f t="shared" ref="E5:E10" si="1">B5/C5</f>
        <v>1.2</v>
      </c>
      <c r="F5" s="2" t="str">
        <f t="shared" ref="F5:F10" si="2">IF(B5&gt;=C5,"✅ Hit","❌ Miss")</f>
        <v>✅ Hit</v>
      </c>
    </row>
    <row r="6" spans="1:6" x14ac:dyDescent="0.3">
      <c r="A6" s="5" t="s">
        <v>76</v>
      </c>
      <c r="B6" s="6">
        <v>85000</v>
      </c>
      <c r="C6" s="6">
        <v>90000</v>
      </c>
      <c r="D6" s="6">
        <f t="shared" si="0"/>
        <v>-5000</v>
      </c>
      <c r="E6" s="9">
        <f t="shared" si="1"/>
        <v>0.94444444444444442</v>
      </c>
      <c r="F6" s="5" t="str">
        <f t="shared" si="2"/>
        <v>❌ Miss</v>
      </c>
    </row>
    <row r="7" spans="1:6" x14ac:dyDescent="0.3">
      <c r="A7" s="2" t="s">
        <v>77</v>
      </c>
      <c r="B7" s="3">
        <v>150000</v>
      </c>
      <c r="C7" s="3">
        <v>130000</v>
      </c>
      <c r="D7" s="3">
        <f t="shared" si="0"/>
        <v>20000</v>
      </c>
      <c r="E7" s="8">
        <f t="shared" si="1"/>
        <v>1.1538461538461537</v>
      </c>
      <c r="F7" s="2" t="str">
        <f t="shared" si="2"/>
        <v>✅ Hit</v>
      </c>
    </row>
    <row r="8" spans="1:6" x14ac:dyDescent="0.3">
      <c r="A8" s="5" t="s">
        <v>78</v>
      </c>
      <c r="B8" s="6">
        <v>95000</v>
      </c>
      <c r="C8" s="6">
        <v>100000</v>
      </c>
      <c r="D8" s="6">
        <f t="shared" si="0"/>
        <v>-5000</v>
      </c>
      <c r="E8" s="9">
        <f t="shared" si="1"/>
        <v>0.95</v>
      </c>
      <c r="F8" s="5" t="str">
        <f t="shared" si="2"/>
        <v>❌ Miss</v>
      </c>
    </row>
    <row r="9" spans="1:6" x14ac:dyDescent="0.3">
      <c r="A9" s="2" t="s">
        <v>79</v>
      </c>
      <c r="B9" s="3">
        <v>175000</v>
      </c>
      <c r="C9" s="3">
        <v>150000</v>
      </c>
      <c r="D9" s="3">
        <f t="shared" si="0"/>
        <v>25000</v>
      </c>
      <c r="E9" s="8">
        <f t="shared" si="1"/>
        <v>1.1666666666666667</v>
      </c>
      <c r="F9" s="2" t="str">
        <f t="shared" si="2"/>
        <v>✅ Hit</v>
      </c>
    </row>
    <row r="10" spans="1:6" x14ac:dyDescent="0.3">
      <c r="A10" s="5" t="s">
        <v>80</v>
      </c>
      <c r="B10" s="6">
        <v>110000</v>
      </c>
      <c r="C10" s="6">
        <v>100000</v>
      </c>
      <c r="D10" s="6">
        <f t="shared" si="0"/>
        <v>10000</v>
      </c>
      <c r="E10" s="9">
        <f t="shared" si="1"/>
        <v>1.1000000000000001</v>
      </c>
      <c r="F10" s="5" t="str">
        <f t="shared" si="2"/>
        <v>✅ Hit</v>
      </c>
    </row>
    <row r="11" spans="1:6" x14ac:dyDescent="0.3">
      <c r="A11" s="10" t="s">
        <v>81</v>
      </c>
      <c r="B11" s="11">
        <f>SUM(B5:B10)</f>
        <v>735000</v>
      </c>
      <c r="C11" s="11">
        <f>SUM(C5:C10)</f>
        <v>670000</v>
      </c>
      <c r="D11" s="11">
        <f>SUM(D5:D10)</f>
        <v>65000</v>
      </c>
      <c r="E11" s="12">
        <f>AVERAGE(E5:E10)</f>
        <v>1.0858262108262109</v>
      </c>
      <c r="F11" s="10"/>
    </row>
    <row r="13" spans="1:6" x14ac:dyDescent="0.3">
      <c r="A13" s="13" t="s">
        <v>82</v>
      </c>
      <c r="B13" s="14">
        <f>MAX(B5:B10)</f>
        <v>175000</v>
      </c>
    </row>
    <row r="14" spans="1:6" x14ac:dyDescent="0.3">
      <c r="A14" s="15" t="s">
        <v>83</v>
      </c>
      <c r="B14" s="16">
        <f>MIN(B5:B10)</f>
        <v>85000</v>
      </c>
    </row>
    <row r="15" spans="1:6" x14ac:dyDescent="0.3">
      <c r="A15" s="13" t="s">
        <v>84</v>
      </c>
      <c r="B15" s="17">
        <f>COUNTA(A5:A10)</f>
        <v>6</v>
      </c>
    </row>
    <row r="17" spans="1:6" x14ac:dyDescent="0.3">
      <c r="A17" s="24" t="s">
        <v>85</v>
      </c>
      <c r="B17" s="25"/>
      <c r="C17" s="25"/>
      <c r="D17" s="25"/>
      <c r="E17" s="25"/>
      <c r="F17" s="25"/>
    </row>
    <row r="18" spans="1:6" ht="27.6" x14ac:dyDescent="0.3">
      <c r="A18" s="1" t="s">
        <v>86</v>
      </c>
      <c r="B18" s="1" t="s">
        <v>5</v>
      </c>
      <c r="C18" s="1" t="s">
        <v>87</v>
      </c>
      <c r="D18" s="1" t="s">
        <v>88</v>
      </c>
      <c r="E18" s="1" t="s">
        <v>89</v>
      </c>
    </row>
    <row r="19" spans="1:6" x14ac:dyDescent="0.3">
      <c r="A19" s="2" t="s">
        <v>11</v>
      </c>
      <c r="B19" s="3">
        <v>120000</v>
      </c>
      <c r="C19" s="2" t="str">
        <f>IF(B19&gt;=150000,"A",IF(B19&gt;=120000,"B",IF(B19&gt;=100000,"C","D")))</f>
        <v>B</v>
      </c>
      <c r="D19" s="3">
        <f>IF(B19&gt;=150000,B19*0.15,IF(B19&gt;=120000,B19*0.1,B19*0.05))</f>
        <v>12000</v>
      </c>
      <c r="E19" s="2" t="str">
        <f>IF(AND(B19&gt;=100000,C19&lt;&gt;"D"),"Yes","No")</f>
        <v>Yes</v>
      </c>
    </row>
    <row r="20" spans="1:6" x14ac:dyDescent="0.3">
      <c r="A20" s="5" t="s">
        <v>21</v>
      </c>
      <c r="B20" s="6">
        <v>150000</v>
      </c>
      <c r="C20" s="5" t="str">
        <f>IF(B20&gt;=150000,"A",IF(B20&gt;=120000,"B",IF(B20&gt;=100000,"C","D")))</f>
        <v>A</v>
      </c>
      <c r="D20" s="6">
        <f>IF(B20&gt;=150000,B20*0.15,IF(B20&gt;=120000,B20*0.1,B20*0.05))</f>
        <v>22500</v>
      </c>
      <c r="E20" s="5" t="str">
        <f>IF(AND(B20&gt;=100000,C20&lt;&gt;"D"),"Yes","No")</f>
        <v>Yes</v>
      </c>
    </row>
    <row r="21" spans="1:6" x14ac:dyDescent="0.3">
      <c r="A21" s="2" t="s">
        <v>30</v>
      </c>
      <c r="B21" s="3">
        <v>95000</v>
      </c>
      <c r="C21" s="2" t="str">
        <f>IF(B21&gt;=150000,"A",IF(B21&gt;=120000,"B",IF(B21&gt;=100000,"C","D")))</f>
        <v>D</v>
      </c>
      <c r="D21" s="3">
        <f>IF(B21&gt;=150000,B21*0.15,IF(B21&gt;=120000,B21*0.1,B21*0.05))</f>
        <v>4750</v>
      </c>
      <c r="E21" s="2" t="str">
        <f>IF(AND(B21&gt;=100000,C21&lt;&gt;"D"),"Yes","No")</f>
        <v>No</v>
      </c>
    </row>
    <row r="22" spans="1:6" x14ac:dyDescent="0.3">
      <c r="A22" s="5" t="s">
        <v>37</v>
      </c>
      <c r="B22" s="6">
        <v>175000</v>
      </c>
      <c r="C22" s="5" t="str">
        <f>IF(B22&gt;=150000,"A",IF(B22&gt;=120000,"B",IF(B22&gt;=100000,"C","D")))</f>
        <v>A</v>
      </c>
      <c r="D22" s="6">
        <f>IF(B22&gt;=150000,B22*0.15,IF(B22&gt;=120000,B22*0.1,B22*0.05))</f>
        <v>26250</v>
      </c>
      <c r="E22" s="5" t="str">
        <f>IF(AND(B22&gt;=100000,C22&lt;&gt;"D"),"Yes","No")</f>
        <v>Yes</v>
      </c>
    </row>
    <row r="23" spans="1:6" x14ac:dyDescent="0.3">
      <c r="A23" s="2" t="s">
        <v>46</v>
      </c>
      <c r="B23" s="3">
        <v>110000</v>
      </c>
      <c r="C23" s="2" t="str">
        <f>IF(B23&gt;=150000,"A",IF(B23&gt;=120000,"B",IF(B23&gt;=100000,"C","D")))</f>
        <v>C</v>
      </c>
      <c r="D23" s="3">
        <f>IF(B23&gt;=150000,B23*0.15,IF(B23&gt;=120000,B23*0.1,B23*0.05))</f>
        <v>5500</v>
      </c>
      <c r="E23" s="2" t="str">
        <f>IF(AND(B23&gt;=100000,C23&lt;&gt;"D"),"Yes","No")</f>
        <v>Yes</v>
      </c>
    </row>
  </sheetData>
  <mergeCells count="3">
    <mergeCell ref="A3:F3"/>
    <mergeCell ref="A1:F1"/>
    <mergeCell ref="A17:F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showGridLines="0" topLeftCell="A2" workbookViewId="0">
      <selection activeCell="B25" sqref="B25"/>
    </sheetView>
  </sheetViews>
  <sheetFormatPr defaultRowHeight="14.4" x14ac:dyDescent="0.3"/>
  <cols>
    <col min="1" max="1" width="16" customWidth="1"/>
    <col min="2" max="2" width="20" customWidth="1"/>
    <col min="3" max="5" width="16" customWidth="1"/>
    <col min="6" max="7" width="10" customWidth="1"/>
  </cols>
  <sheetData>
    <row r="1" spans="1:7" ht="34.950000000000003" customHeight="1" x14ac:dyDescent="0.3">
      <c r="A1" s="26" t="s">
        <v>90</v>
      </c>
      <c r="B1" s="25"/>
      <c r="C1" s="25"/>
      <c r="D1" s="25"/>
      <c r="E1" s="25"/>
      <c r="F1" s="25"/>
      <c r="G1" s="25"/>
    </row>
    <row r="3" spans="1:7" x14ac:dyDescent="0.3">
      <c r="A3" s="24" t="s">
        <v>91</v>
      </c>
      <c r="B3" s="25"/>
      <c r="C3" s="25"/>
      <c r="D3" s="25"/>
      <c r="E3" s="25"/>
    </row>
    <row r="4" spans="1:7" x14ac:dyDescent="0.3">
      <c r="A4" s="1" t="s">
        <v>0</v>
      </c>
      <c r="B4" s="1" t="s">
        <v>1</v>
      </c>
      <c r="C4" s="1" t="s">
        <v>2</v>
      </c>
      <c r="D4" s="1" t="s">
        <v>92</v>
      </c>
      <c r="E4" s="1" t="s">
        <v>93</v>
      </c>
    </row>
    <row r="5" spans="1:7" x14ac:dyDescent="0.3">
      <c r="A5" s="18" t="s">
        <v>10</v>
      </c>
      <c r="B5" s="18" t="s">
        <v>11</v>
      </c>
      <c r="C5" s="18" t="s">
        <v>5</v>
      </c>
      <c r="D5" s="19">
        <v>45000</v>
      </c>
      <c r="E5" s="18" t="s">
        <v>94</v>
      </c>
    </row>
    <row r="6" spans="1:7" x14ac:dyDescent="0.3">
      <c r="A6" s="20" t="s">
        <v>15</v>
      </c>
      <c r="B6" s="20" t="s">
        <v>16</v>
      </c>
      <c r="C6" s="20" t="s">
        <v>17</v>
      </c>
      <c r="D6" s="21">
        <v>40000</v>
      </c>
      <c r="E6" s="20" t="s">
        <v>95</v>
      </c>
    </row>
    <row r="7" spans="1:7" x14ac:dyDescent="0.3">
      <c r="A7" s="18" t="s">
        <v>20</v>
      </c>
      <c r="B7" s="18" t="s">
        <v>21</v>
      </c>
      <c r="C7" s="18" t="s">
        <v>5</v>
      </c>
      <c r="D7" s="19">
        <v>55000</v>
      </c>
      <c r="E7" s="18" t="s">
        <v>96</v>
      </c>
    </row>
    <row r="8" spans="1:7" x14ac:dyDescent="0.3">
      <c r="A8" s="20" t="s">
        <v>24</v>
      </c>
      <c r="B8" s="20" t="s">
        <v>25</v>
      </c>
      <c r="C8" s="20" t="s">
        <v>26</v>
      </c>
      <c r="D8" s="21">
        <v>50000</v>
      </c>
      <c r="E8" s="20" t="s">
        <v>97</v>
      </c>
    </row>
    <row r="9" spans="1:7" x14ac:dyDescent="0.3">
      <c r="A9" s="18" t="s">
        <v>29</v>
      </c>
      <c r="B9" s="18" t="s">
        <v>30</v>
      </c>
      <c r="C9" s="18" t="s">
        <v>5</v>
      </c>
      <c r="D9" s="19">
        <v>42000</v>
      </c>
      <c r="E9" s="18" t="s">
        <v>94</v>
      </c>
    </row>
    <row r="10" spans="1:7" x14ac:dyDescent="0.3">
      <c r="A10" s="20" t="s">
        <v>32</v>
      </c>
      <c r="B10" s="20" t="s">
        <v>33</v>
      </c>
      <c r="C10" s="20" t="s">
        <v>34</v>
      </c>
      <c r="D10" s="21">
        <v>38000</v>
      </c>
      <c r="E10" s="20" t="s">
        <v>98</v>
      </c>
    </row>
    <row r="11" spans="1:7" x14ac:dyDescent="0.3">
      <c r="A11" s="18" t="s">
        <v>36</v>
      </c>
      <c r="B11" s="18" t="s">
        <v>37</v>
      </c>
      <c r="C11" s="18" t="s">
        <v>5</v>
      </c>
      <c r="D11" s="19">
        <v>60000</v>
      </c>
      <c r="E11" s="18" t="s">
        <v>99</v>
      </c>
    </row>
    <row r="12" spans="1:7" x14ac:dyDescent="0.3">
      <c r="A12" s="20" t="s">
        <v>39</v>
      </c>
      <c r="B12" s="20" t="s">
        <v>40</v>
      </c>
      <c r="C12" s="20" t="s">
        <v>17</v>
      </c>
      <c r="D12" s="21">
        <v>43000</v>
      </c>
      <c r="E12" s="20" t="s">
        <v>100</v>
      </c>
    </row>
    <row r="15" spans="1:7" x14ac:dyDescent="0.3">
      <c r="A15" s="24" t="s">
        <v>101</v>
      </c>
      <c r="B15" s="25"/>
      <c r="C15" s="25"/>
      <c r="D15" s="25"/>
      <c r="E15" s="25"/>
      <c r="F15" s="25"/>
      <c r="G15" s="25"/>
    </row>
    <row r="16" spans="1:7" ht="27.6" x14ac:dyDescent="0.3">
      <c r="A16" s="1" t="s">
        <v>102</v>
      </c>
      <c r="B16" s="1" t="s">
        <v>103</v>
      </c>
      <c r="C16" s="1" t="s">
        <v>104</v>
      </c>
      <c r="D16" s="1" t="s">
        <v>105</v>
      </c>
      <c r="E16" s="1" t="s">
        <v>106</v>
      </c>
    </row>
    <row r="17" spans="1:7" x14ac:dyDescent="0.3">
      <c r="A17" s="2" t="s">
        <v>20</v>
      </c>
      <c r="B17" s="2" t="str">
        <f>VLOOKUP(A17,$A$5:$E$12,2,0)</f>
        <v>Rahul Singh</v>
      </c>
      <c r="C17" s="2" t="str">
        <f>VLOOKUP(A17,$A$5:$E$12,3,0)</f>
        <v>Sales</v>
      </c>
      <c r="D17" s="3">
        <f>VLOOKUP(A17,$A$5:$E$12,4,0)</f>
        <v>55000</v>
      </c>
      <c r="E17" s="2" t="str">
        <f>VLOOKUP(A17,$A$5:$E$12,5,0)</f>
        <v>Bangalore</v>
      </c>
    </row>
    <row r="18" spans="1:7" x14ac:dyDescent="0.3">
      <c r="A18" s="5" t="s">
        <v>36</v>
      </c>
      <c r="B18" s="5" t="str">
        <f>VLOOKUP(A18,$A$5:$E$12,2,0)</f>
        <v>Ravi Kumar</v>
      </c>
      <c r="C18" s="5" t="str">
        <f>VLOOKUP(A18,$A$5:$E$12,3,0)</f>
        <v>Sales</v>
      </c>
      <c r="D18" s="6">
        <f>VLOOKUP(A18,$A$5:$E$12,4,0)</f>
        <v>60000</v>
      </c>
      <c r="E18" s="5" t="str">
        <f>VLOOKUP(A18,$A$5:$E$12,5,0)</f>
        <v>Chennai</v>
      </c>
    </row>
    <row r="19" spans="1:7" x14ac:dyDescent="0.3">
      <c r="A19" s="2" t="s">
        <v>10</v>
      </c>
      <c r="B19" s="2" t="str">
        <f>VLOOKUP(A19,$A$5:$E$12,2,0)</f>
        <v>Amit Sharma</v>
      </c>
      <c r="C19" s="2" t="str">
        <f>VLOOKUP(A19,$A$5:$E$12,3,0)</f>
        <v>Sales</v>
      </c>
      <c r="D19" s="3">
        <f>VLOOKUP(A19,$A$5:$E$12,4,0)</f>
        <v>45000</v>
      </c>
      <c r="E19" s="2" t="str">
        <f>VLOOKUP(A19,$A$5:$E$12,5,0)</f>
        <v>Delhi</v>
      </c>
    </row>
    <row r="20" spans="1:7" x14ac:dyDescent="0.3">
      <c r="A20" s="5" t="s">
        <v>29</v>
      </c>
      <c r="B20" s="5" t="str">
        <f>VLOOKUP(A20,$A$5:$E$12,2,0)</f>
        <v>Vikram Joshi</v>
      </c>
      <c r="C20" s="5" t="str">
        <f>VLOOKUP(A20,$A$5:$E$12,3,0)</f>
        <v>Sales</v>
      </c>
      <c r="D20" s="6">
        <f>VLOOKUP(A20,$A$5:$E$12,4,0)</f>
        <v>42000</v>
      </c>
      <c r="E20" s="5" t="str">
        <f>VLOOKUP(A20,$A$5:$E$12,5,0)</f>
        <v>Delhi</v>
      </c>
    </row>
    <row r="21" spans="1:7" x14ac:dyDescent="0.3">
      <c r="A21" s="2" t="s">
        <v>39</v>
      </c>
      <c r="B21" s="2" t="str">
        <f>VLOOKUP(A21,$A$5:$E$12,2,0)</f>
        <v>Deepika Nair</v>
      </c>
      <c r="C21" s="2" t="str">
        <f>VLOOKUP(A21,$A$5:$E$12,3,0)</f>
        <v>Marketing</v>
      </c>
      <c r="D21" s="3">
        <f>VLOOKUP(A21,$A$5:$E$12,4,0)</f>
        <v>43000</v>
      </c>
      <c r="E21" s="2" t="str">
        <f>VLOOKUP(A21,$A$5:$E$12,5,0)</f>
        <v>Kolkata</v>
      </c>
    </row>
    <row r="24" spans="1:7" x14ac:dyDescent="0.3">
      <c r="A24" s="27" t="s">
        <v>107</v>
      </c>
      <c r="B24" s="25"/>
      <c r="C24" s="25"/>
      <c r="D24" s="25"/>
      <c r="E24" s="25"/>
      <c r="F24" s="25"/>
      <c r="G24" s="25"/>
    </row>
    <row r="25" spans="1:7" x14ac:dyDescent="0.3">
      <c r="A25" s="22" t="s">
        <v>108</v>
      </c>
      <c r="B25" s="23" t="str">
        <f>_xlfn.XLOOKUP("E003",$A$5:$A$12,$B$5:$B$12,"Not Found")</f>
        <v>Rahul Singh</v>
      </c>
    </row>
  </sheetData>
  <mergeCells count="4">
    <mergeCell ref="A15:G15"/>
    <mergeCell ref="A24:G24"/>
    <mergeCell ref="A1:G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2"/>
  <sheetViews>
    <sheetView showGridLines="0" tabSelected="1" topLeftCell="A4" zoomScale="55" zoomScaleNormal="67" workbookViewId="0">
      <selection activeCell="AE1" sqref="AE1"/>
    </sheetView>
  </sheetViews>
  <sheetFormatPr defaultRowHeight="14.4" x14ac:dyDescent="0.3"/>
  <cols>
    <col min="1" max="1" width="10" customWidth="1"/>
    <col min="2" max="2" width="14" customWidth="1"/>
    <col min="3" max="4" width="12" customWidth="1"/>
    <col min="5" max="6" width="14" customWidth="1"/>
    <col min="8" max="8" width="18.88671875" bestFit="1" customWidth="1"/>
    <col min="9" max="9" width="22.77734375" bestFit="1" customWidth="1"/>
    <col min="10" max="10" width="12.77734375" bestFit="1" customWidth="1"/>
    <col min="11" max="11" width="13" bestFit="1" customWidth="1"/>
    <col min="12" max="12" width="12.33203125" bestFit="1" customWidth="1"/>
    <col min="13" max="13" width="15.109375" bestFit="1" customWidth="1"/>
    <col min="14" max="14" width="44.44140625" customWidth="1"/>
    <col min="15" max="15" width="17.33203125" customWidth="1"/>
    <col min="16" max="16" width="12.6640625" bestFit="1" customWidth="1"/>
    <col min="17" max="17" width="12.88671875" bestFit="1" customWidth="1"/>
    <col min="18" max="18" width="12.33203125" bestFit="1" customWidth="1"/>
    <col min="19" max="19" width="15.33203125" bestFit="1" customWidth="1"/>
  </cols>
  <sheetData>
    <row r="1" spans="1:13" ht="34.950000000000003" customHeight="1" x14ac:dyDescent="0.3">
      <c r="A1" s="26" t="s">
        <v>109</v>
      </c>
      <c r="B1" s="25"/>
      <c r="C1" s="25"/>
      <c r="D1" s="25"/>
      <c r="E1" s="25"/>
      <c r="F1" s="25"/>
    </row>
    <row r="3" spans="1:13" x14ac:dyDescent="0.3">
      <c r="A3" s="28" t="s">
        <v>110</v>
      </c>
      <c r="B3" s="25"/>
      <c r="C3" s="25"/>
      <c r="D3" s="25"/>
      <c r="E3" s="25"/>
      <c r="F3" s="25"/>
    </row>
    <row r="4" spans="1:13" x14ac:dyDescent="0.3">
      <c r="A4" s="1" t="s">
        <v>3</v>
      </c>
      <c r="B4" s="1" t="s">
        <v>2</v>
      </c>
      <c r="C4" s="1" t="s">
        <v>86</v>
      </c>
      <c r="D4" s="1" t="s">
        <v>4</v>
      </c>
      <c r="E4" s="1" t="s">
        <v>5</v>
      </c>
      <c r="F4" s="1" t="s">
        <v>7</v>
      </c>
      <c r="H4" s="29" t="s">
        <v>4</v>
      </c>
      <c r="I4" s="30" t="s">
        <v>126</v>
      </c>
    </row>
    <row r="5" spans="1:13" x14ac:dyDescent="0.3">
      <c r="A5" s="2" t="s">
        <v>12</v>
      </c>
      <c r="B5" s="2" t="s">
        <v>5</v>
      </c>
      <c r="C5" s="2" t="s">
        <v>111</v>
      </c>
      <c r="D5" s="2" t="s">
        <v>13</v>
      </c>
      <c r="E5" s="3">
        <v>78000</v>
      </c>
      <c r="F5" s="3">
        <v>7995</v>
      </c>
    </row>
    <row r="6" spans="1:13" x14ac:dyDescent="0.3">
      <c r="A6" s="5" t="s">
        <v>12</v>
      </c>
      <c r="B6" s="5" t="s">
        <v>5</v>
      </c>
      <c r="C6" s="5" t="s">
        <v>111</v>
      </c>
      <c r="D6" s="5" t="s">
        <v>50</v>
      </c>
      <c r="E6" s="6">
        <v>120000</v>
      </c>
      <c r="F6" s="6">
        <v>14938</v>
      </c>
      <c r="H6" s="29" t="s">
        <v>125</v>
      </c>
      <c r="I6" s="29" t="s">
        <v>124</v>
      </c>
      <c r="J6" s="30"/>
      <c r="K6" s="30"/>
      <c r="L6" s="30"/>
      <c r="M6" s="30"/>
    </row>
    <row r="7" spans="1:13" x14ac:dyDescent="0.3">
      <c r="A7" s="2" t="s">
        <v>12</v>
      </c>
      <c r="B7" s="2" t="s">
        <v>5</v>
      </c>
      <c r="C7" s="2" t="s">
        <v>111</v>
      </c>
      <c r="D7" s="2" t="s">
        <v>69</v>
      </c>
      <c r="E7" s="3">
        <v>85000</v>
      </c>
      <c r="F7" s="3">
        <v>14760</v>
      </c>
      <c r="H7" s="29" t="s">
        <v>122</v>
      </c>
      <c r="I7" s="30" t="s">
        <v>34</v>
      </c>
      <c r="J7" s="30" t="s">
        <v>26</v>
      </c>
      <c r="K7" s="30" t="s">
        <v>17</v>
      </c>
      <c r="L7" s="30" t="s">
        <v>5</v>
      </c>
      <c r="M7" s="30" t="s">
        <v>123</v>
      </c>
    </row>
    <row r="8" spans="1:13" x14ac:dyDescent="0.3">
      <c r="A8" s="5" t="s">
        <v>12</v>
      </c>
      <c r="B8" s="5" t="s">
        <v>5</v>
      </c>
      <c r="C8" s="5" t="s">
        <v>111</v>
      </c>
      <c r="D8" s="5" t="s">
        <v>112</v>
      </c>
      <c r="E8" s="6">
        <v>189000</v>
      </c>
      <c r="F8" s="6">
        <v>20543</v>
      </c>
      <c r="H8" s="31" t="s">
        <v>18</v>
      </c>
      <c r="I8" s="32">
        <v>1795000</v>
      </c>
      <c r="J8" s="32"/>
      <c r="K8" s="32"/>
      <c r="L8" s="32"/>
      <c r="M8" s="32">
        <v>1795000</v>
      </c>
    </row>
    <row r="9" spans="1:13" x14ac:dyDescent="0.3">
      <c r="A9" s="2" t="s">
        <v>12</v>
      </c>
      <c r="B9" s="2" t="s">
        <v>5</v>
      </c>
      <c r="C9" s="2" t="s">
        <v>111</v>
      </c>
      <c r="D9" s="2" t="s">
        <v>113</v>
      </c>
      <c r="E9" s="3">
        <v>158000</v>
      </c>
      <c r="F9" s="3">
        <v>16302</v>
      </c>
      <c r="H9" s="31" t="s">
        <v>22</v>
      </c>
      <c r="I9" s="32"/>
      <c r="J9" s="32"/>
      <c r="K9" s="32">
        <v>1611000</v>
      </c>
      <c r="L9" s="32"/>
      <c r="M9" s="32">
        <v>1611000</v>
      </c>
    </row>
    <row r="10" spans="1:13" x14ac:dyDescent="0.3">
      <c r="A10" s="5" t="s">
        <v>12</v>
      </c>
      <c r="B10" s="5" t="s">
        <v>5</v>
      </c>
      <c r="C10" s="5" t="s">
        <v>111</v>
      </c>
      <c r="D10" s="5" t="s">
        <v>114</v>
      </c>
      <c r="E10" s="6">
        <v>73000</v>
      </c>
      <c r="F10" s="6">
        <v>8896</v>
      </c>
      <c r="H10" s="31" t="s">
        <v>27</v>
      </c>
      <c r="I10" s="32"/>
      <c r="J10" s="32">
        <v>1427000</v>
      </c>
      <c r="K10" s="32"/>
      <c r="L10" s="32"/>
      <c r="M10" s="32">
        <v>1427000</v>
      </c>
    </row>
    <row r="11" spans="1:13" x14ac:dyDescent="0.3">
      <c r="A11" s="2" t="s">
        <v>22</v>
      </c>
      <c r="B11" s="2" t="s">
        <v>17</v>
      </c>
      <c r="C11" s="2" t="s">
        <v>115</v>
      </c>
      <c r="D11" s="2" t="s">
        <v>13</v>
      </c>
      <c r="E11" s="3">
        <v>179000</v>
      </c>
      <c r="F11" s="3">
        <v>28676</v>
      </c>
      <c r="H11" s="31" t="s">
        <v>12</v>
      </c>
      <c r="I11" s="32"/>
      <c r="J11" s="32"/>
      <c r="K11" s="32"/>
      <c r="L11" s="32">
        <v>1415000</v>
      </c>
      <c r="M11" s="32">
        <v>1415000</v>
      </c>
    </row>
    <row r="12" spans="1:13" x14ac:dyDescent="0.3">
      <c r="A12" s="5" t="s">
        <v>22</v>
      </c>
      <c r="B12" s="5" t="s">
        <v>17</v>
      </c>
      <c r="C12" s="5" t="s">
        <v>115</v>
      </c>
      <c r="D12" s="5" t="s">
        <v>50</v>
      </c>
      <c r="E12" s="6">
        <v>193000</v>
      </c>
      <c r="F12" s="6">
        <v>23137</v>
      </c>
      <c r="H12" s="31" t="s">
        <v>123</v>
      </c>
      <c r="I12" s="32">
        <v>1795000</v>
      </c>
      <c r="J12" s="32">
        <v>1427000</v>
      </c>
      <c r="K12" s="32">
        <v>1611000</v>
      </c>
      <c r="L12" s="32">
        <v>1415000</v>
      </c>
      <c r="M12" s="32">
        <v>6248000</v>
      </c>
    </row>
    <row r="13" spans="1:13" x14ac:dyDescent="0.3">
      <c r="A13" s="2" t="s">
        <v>22</v>
      </c>
      <c r="B13" s="2" t="s">
        <v>17</v>
      </c>
      <c r="C13" s="2" t="s">
        <v>115</v>
      </c>
      <c r="D13" s="2" t="s">
        <v>69</v>
      </c>
      <c r="E13" s="3">
        <v>189000</v>
      </c>
      <c r="F13" s="3">
        <v>26828</v>
      </c>
    </row>
    <row r="14" spans="1:13" x14ac:dyDescent="0.3">
      <c r="A14" s="5" t="s">
        <v>22</v>
      </c>
      <c r="B14" s="5" t="s">
        <v>17</v>
      </c>
      <c r="C14" s="5" t="s">
        <v>115</v>
      </c>
      <c r="D14" s="5" t="s">
        <v>112</v>
      </c>
      <c r="E14" s="6">
        <v>164000</v>
      </c>
      <c r="F14" s="6">
        <v>26063</v>
      </c>
    </row>
    <row r="15" spans="1:13" x14ac:dyDescent="0.3">
      <c r="A15" s="2" t="s">
        <v>22</v>
      </c>
      <c r="B15" s="2" t="s">
        <v>17</v>
      </c>
      <c r="C15" s="2" t="s">
        <v>115</v>
      </c>
      <c r="D15" s="2" t="s">
        <v>113</v>
      </c>
      <c r="E15" s="3">
        <v>51000</v>
      </c>
      <c r="F15" s="3">
        <v>8969</v>
      </c>
    </row>
    <row r="16" spans="1:13" x14ac:dyDescent="0.3">
      <c r="A16" s="5" t="s">
        <v>22</v>
      </c>
      <c r="B16" s="5" t="s">
        <v>17</v>
      </c>
      <c r="C16" s="5" t="s">
        <v>115</v>
      </c>
      <c r="D16" s="5" t="s">
        <v>114</v>
      </c>
      <c r="E16" s="6">
        <v>90000</v>
      </c>
      <c r="F16" s="6">
        <v>15283</v>
      </c>
    </row>
    <row r="17" spans="1:6" x14ac:dyDescent="0.3">
      <c r="A17" s="2" t="s">
        <v>27</v>
      </c>
      <c r="B17" s="2" t="s">
        <v>26</v>
      </c>
      <c r="C17" s="2" t="s">
        <v>116</v>
      </c>
      <c r="D17" s="2" t="s">
        <v>13</v>
      </c>
      <c r="E17" s="3">
        <v>137000</v>
      </c>
      <c r="F17" s="3">
        <v>17506</v>
      </c>
    </row>
    <row r="18" spans="1:6" x14ac:dyDescent="0.3">
      <c r="A18" s="5" t="s">
        <v>27</v>
      </c>
      <c r="B18" s="5" t="s">
        <v>26</v>
      </c>
      <c r="C18" s="5" t="s">
        <v>116</v>
      </c>
      <c r="D18" s="5" t="s">
        <v>50</v>
      </c>
      <c r="E18" s="6">
        <v>105000</v>
      </c>
      <c r="F18" s="6">
        <v>20550</v>
      </c>
    </row>
    <row r="19" spans="1:6" x14ac:dyDescent="0.3">
      <c r="A19" s="2" t="s">
        <v>27</v>
      </c>
      <c r="B19" s="2" t="s">
        <v>26</v>
      </c>
      <c r="C19" s="2" t="s">
        <v>116</v>
      </c>
      <c r="D19" s="2" t="s">
        <v>69</v>
      </c>
      <c r="E19" s="3">
        <v>136000</v>
      </c>
      <c r="F19" s="3">
        <v>14990</v>
      </c>
    </row>
    <row r="20" spans="1:6" x14ac:dyDescent="0.3">
      <c r="A20" s="5" t="s">
        <v>27</v>
      </c>
      <c r="B20" s="5" t="s">
        <v>26</v>
      </c>
      <c r="C20" s="5" t="s">
        <v>116</v>
      </c>
      <c r="D20" s="5" t="s">
        <v>112</v>
      </c>
      <c r="E20" s="6">
        <v>147000</v>
      </c>
      <c r="F20" s="6">
        <v>16121</v>
      </c>
    </row>
    <row r="21" spans="1:6" x14ac:dyDescent="0.3">
      <c r="A21" s="2" t="s">
        <v>27</v>
      </c>
      <c r="B21" s="2" t="s">
        <v>26</v>
      </c>
      <c r="C21" s="2" t="s">
        <v>116</v>
      </c>
      <c r="D21" s="2" t="s">
        <v>113</v>
      </c>
      <c r="E21" s="3">
        <v>138000</v>
      </c>
      <c r="F21" s="3">
        <v>22131</v>
      </c>
    </row>
    <row r="22" spans="1:6" x14ac:dyDescent="0.3">
      <c r="A22" s="5" t="s">
        <v>27</v>
      </c>
      <c r="B22" s="5" t="s">
        <v>26</v>
      </c>
      <c r="C22" s="5" t="s">
        <v>116</v>
      </c>
      <c r="D22" s="5" t="s">
        <v>114</v>
      </c>
      <c r="E22" s="6">
        <v>61000</v>
      </c>
      <c r="F22" s="6">
        <v>10551</v>
      </c>
    </row>
    <row r="23" spans="1:6" x14ac:dyDescent="0.3">
      <c r="A23" s="2" t="s">
        <v>18</v>
      </c>
      <c r="B23" s="2" t="s">
        <v>34</v>
      </c>
      <c r="C23" s="2" t="s">
        <v>117</v>
      </c>
      <c r="D23" s="2" t="s">
        <v>13</v>
      </c>
      <c r="E23" s="3">
        <v>187000</v>
      </c>
      <c r="F23" s="3">
        <v>21034</v>
      </c>
    </row>
    <row r="24" spans="1:6" x14ac:dyDescent="0.3">
      <c r="A24" s="5" t="s">
        <v>18</v>
      </c>
      <c r="B24" s="5" t="s">
        <v>34</v>
      </c>
      <c r="C24" s="5" t="s">
        <v>117</v>
      </c>
      <c r="D24" s="5" t="s">
        <v>50</v>
      </c>
      <c r="E24" s="6">
        <v>146000</v>
      </c>
      <c r="F24" s="6">
        <v>15750</v>
      </c>
    </row>
    <row r="25" spans="1:6" x14ac:dyDescent="0.3">
      <c r="A25" s="2" t="s">
        <v>18</v>
      </c>
      <c r="B25" s="2" t="s">
        <v>34</v>
      </c>
      <c r="C25" s="2" t="s">
        <v>117</v>
      </c>
      <c r="D25" s="2" t="s">
        <v>69</v>
      </c>
      <c r="E25" s="3">
        <v>125000</v>
      </c>
      <c r="F25" s="3">
        <v>22867</v>
      </c>
    </row>
    <row r="26" spans="1:6" x14ac:dyDescent="0.3">
      <c r="A26" s="5" t="s">
        <v>18</v>
      </c>
      <c r="B26" s="5" t="s">
        <v>34</v>
      </c>
      <c r="C26" s="5" t="s">
        <v>117</v>
      </c>
      <c r="D26" s="5" t="s">
        <v>112</v>
      </c>
      <c r="E26" s="6">
        <v>142000</v>
      </c>
      <c r="F26" s="6">
        <v>22398</v>
      </c>
    </row>
    <row r="27" spans="1:6" x14ac:dyDescent="0.3">
      <c r="A27" s="2" t="s">
        <v>18</v>
      </c>
      <c r="B27" s="2" t="s">
        <v>34</v>
      </c>
      <c r="C27" s="2" t="s">
        <v>117</v>
      </c>
      <c r="D27" s="2" t="s">
        <v>113</v>
      </c>
      <c r="E27" s="3">
        <v>67000</v>
      </c>
      <c r="F27" s="3">
        <v>7007</v>
      </c>
    </row>
    <row r="28" spans="1:6" x14ac:dyDescent="0.3">
      <c r="A28" s="5" t="s">
        <v>18</v>
      </c>
      <c r="B28" s="5" t="s">
        <v>34</v>
      </c>
      <c r="C28" s="5" t="s">
        <v>117</v>
      </c>
      <c r="D28" s="5" t="s">
        <v>114</v>
      </c>
      <c r="E28" s="6">
        <v>108000</v>
      </c>
      <c r="F28" s="6">
        <v>19149</v>
      </c>
    </row>
    <row r="29" spans="1:6" x14ac:dyDescent="0.3">
      <c r="A29" s="2" t="s">
        <v>12</v>
      </c>
      <c r="B29" s="2" t="s">
        <v>5</v>
      </c>
      <c r="C29" s="2" t="s">
        <v>118</v>
      </c>
      <c r="D29" s="2" t="s">
        <v>13</v>
      </c>
      <c r="E29" s="3">
        <v>70000</v>
      </c>
      <c r="F29" s="3">
        <v>12987</v>
      </c>
    </row>
    <row r="30" spans="1:6" x14ac:dyDescent="0.3">
      <c r="A30" s="5" t="s">
        <v>12</v>
      </c>
      <c r="B30" s="5" t="s">
        <v>5</v>
      </c>
      <c r="C30" s="5" t="s">
        <v>118</v>
      </c>
      <c r="D30" s="5" t="s">
        <v>50</v>
      </c>
      <c r="E30" s="6">
        <v>75000</v>
      </c>
      <c r="F30" s="6">
        <v>10350</v>
      </c>
    </row>
    <row r="31" spans="1:6" x14ac:dyDescent="0.3">
      <c r="A31" s="2" t="s">
        <v>12</v>
      </c>
      <c r="B31" s="2" t="s">
        <v>5</v>
      </c>
      <c r="C31" s="2" t="s">
        <v>118</v>
      </c>
      <c r="D31" s="2" t="s">
        <v>69</v>
      </c>
      <c r="E31" s="3">
        <v>166000</v>
      </c>
      <c r="F31" s="3">
        <v>27152</v>
      </c>
    </row>
    <row r="32" spans="1:6" x14ac:dyDescent="0.3">
      <c r="A32" s="5" t="s">
        <v>12</v>
      </c>
      <c r="B32" s="5" t="s">
        <v>5</v>
      </c>
      <c r="C32" s="5" t="s">
        <v>118</v>
      </c>
      <c r="D32" s="5" t="s">
        <v>112</v>
      </c>
      <c r="E32" s="6">
        <v>143000</v>
      </c>
      <c r="F32" s="6">
        <v>16625</v>
      </c>
    </row>
    <row r="33" spans="1:6" x14ac:dyDescent="0.3">
      <c r="A33" s="2" t="s">
        <v>12</v>
      </c>
      <c r="B33" s="2" t="s">
        <v>5</v>
      </c>
      <c r="C33" s="2" t="s">
        <v>118</v>
      </c>
      <c r="D33" s="2" t="s">
        <v>113</v>
      </c>
      <c r="E33" s="3">
        <v>140000</v>
      </c>
      <c r="F33" s="3">
        <v>16933</v>
      </c>
    </row>
    <row r="34" spans="1:6" x14ac:dyDescent="0.3">
      <c r="A34" s="5" t="s">
        <v>12</v>
      </c>
      <c r="B34" s="5" t="s">
        <v>5</v>
      </c>
      <c r="C34" s="5" t="s">
        <v>118</v>
      </c>
      <c r="D34" s="5" t="s">
        <v>114</v>
      </c>
      <c r="E34" s="6">
        <v>118000</v>
      </c>
      <c r="F34" s="6">
        <v>20081</v>
      </c>
    </row>
    <row r="35" spans="1:6" x14ac:dyDescent="0.3">
      <c r="A35" s="2" t="s">
        <v>22</v>
      </c>
      <c r="B35" s="2" t="s">
        <v>17</v>
      </c>
      <c r="C35" s="2" t="s">
        <v>119</v>
      </c>
      <c r="D35" s="2" t="s">
        <v>13</v>
      </c>
      <c r="E35" s="3">
        <v>68000</v>
      </c>
      <c r="F35" s="3">
        <v>10942</v>
      </c>
    </row>
    <row r="36" spans="1:6" x14ac:dyDescent="0.3">
      <c r="A36" s="5" t="s">
        <v>22</v>
      </c>
      <c r="B36" s="5" t="s">
        <v>17</v>
      </c>
      <c r="C36" s="5" t="s">
        <v>119</v>
      </c>
      <c r="D36" s="5" t="s">
        <v>50</v>
      </c>
      <c r="E36" s="6">
        <v>93000</v>
      </c>
      <c r="F36" s="6">
        <v>14267</v>
      </c>
    </row>
    <row r="37" spans="1:6" x14ac:dyDescent="0.3">
      <c r="A37" s="2" t="s">
        <v>22</v>
      </c>
      <c r="B37" s="2" t="s">
        <v>17</v>
      </c>
      <c r="C37" s="2" t="s">
        <v>119</v>
      </c>
      <c r="D37" s="2" t="s">
        <v>69</v>
      </c>
      <c r="E37" s="3">
        <v>112000</v>
      </c>
      <c r="F37" s="3">
        <v>13030</v>
      </c>
    </row>
    <row r="38" spans="1:6" x14ac:dyDescent="0.3">
      <c r="A38" s="5" t="s">
        <v>22</v>
      </c>
      <c r="B38" s="5" t="s">
        <v>17</v>
      </c>
      <c r="C38" s="5" t="s">
        <v>119</v>
      </c>
      <c r="D38" s="5" t="s">
        <v>112</v>
      </c>
      <c r="E38" s="6">
        <v>147000</v>
      </c>
      <c r="F38" s="6">
        <v>18668</v>
      </c>
    </row>
    <row r="39" spans="1:6" x14ac:dyDescent="0.3">
      <c r="A39" s="2" t="s">
        <v>22</v>
      </c>
      <c r="B39" s="2" t="s">
        <v>17</v>
      </c>
      <c r="C39" s="2" t="s">
        <v>119</v>
      </c>
      <c r="D39" s="2" t="s">
        <v>113</v>
      </c>
      <c r="E39" s="3">
        <v>192000</v>
      </c>
      <c r="F39" s="3">
        <v>23416</v>
      </c>
    </row>
    <row r="40" spans="1:6" x14ac:dyDescent="0.3">
      <c r="A40" s="5" t="s">
        <v>22</v>
      </c>
      <c r="B40" s="5" t="s">
        <v>17</v>
      </c>
      <c r="C40" s="5" t="s">
        <v>119</v>
      </c>
      <c r="D40" s="5" t="s">
        <v>114</v>
      </c>
      <c r="E40" s="6">
        <v>133000</v>
      </c>
      <c r="F40" s="6">
        <v>24509</v>
      </c>
    </row>
    <row r="41" spans="1:6" x14ac:dyDescent="0.3">
      <c r="A41" s="2" t="s">
        <v>27</v>
      </c>
      <c r="B41" s="2" t="s">
        <v>26</v>
      </c>
      <c r="C41" s="2" t="s">
        <v>120</v>
      </c>
      <c r="D41" s="2" t="s">
        <v>13</v>
      </c>
      <c r="E41" s="3">
        <v>64000</v>
      </c>
      <c r="F41" s="3">
        <v>7865</v>
      </c>
    </row>
    <row r="42" spans="1:6" x14ac:dyDescent="0.3">
      <c r="A42" s="5" t="s">
        <v>27</v>
      </c>
      <c r="B42" s="5" t="s">
        <v>26</v>
      </c>
      <c r="C42" s="5" t="s">
        <v>120</v>
      </c>
      <c r="D42" s="5" t="s">
        <v>50</v>
      </c>
      <c r="E42" s="6">
        <v>58000</v>
      </c>
      <c r="F42" s="6">
        <v>10469</v>
      </c>
    </row>
    <row r="43" spans="1:6" x14ac:dyDescent="0.3">
      <c r="A43" s="2" t="s">
        <v>27</v>
      </c>
      <c r="B43" s="2" t="s">
        <v>26</v>
      </c>
      <c r="C43" s="2" t="s">
        <v>120</v>
      </c>
      <c r="D43" s="2" t="s">
        <v>69</v>
      </c>
      <c r="E43" s="3">
        <v>152000</v>
      </c>
      <c r="F43" s="3">
        <v>19269</v>
      </c>
    </row>
    <row r="44" spans="1:6" x14ac:dyDescent="0.3">
      <c r="A44" s="5" t="s">
        <v>27</v>
      </c>
      <c r="B44" s="5" t="s">
        <v>26</v>
      </c>
      <c r="C44" s="5" t="s">
        <v>120</v>
      </c>
      <c r="D44" s="5" t="s">
        <v>112</v>
      </c>
      <c r="E44" s="6">
        <v>104000</v>
      </c>
      <c r="F44" s="6">
        <v>19896</v>
      </c>
    </row>
    <row r="45" spans="1:6" x14ac:dyDescent="0.3">
      <c r="A45" s="2" t="s">
        <v>27</v>
      </c>
      <c r="B45" s="2" t="s">
        <v>26</v>
      </c>
      <c r="C45" s="2" t="s">
        <v>120</v>
      </c>
      <c r="D45" s="2" t="s">
        <v>113</v>
      </c>
      <c r="E45" s="3">
        <v>195000</v>
      </c>
      <c r="F45" s="3">
        <v>36589</v>
      </c>
    </row>
    <row r="46" spans="1:6" x14ac:dyDescent="0.3">
      <c r="A46" s="5" t="s">
        <v>27</v>
      </c>
      <c r="B46" s="5" t="s">
        <v>26</v>
      </c>
      <c r="C46" s="5" t="s">
        <v>120</v>
      </c>
      <c r="D46" s="5" t="s">
        <v>114</v>
      </c>
      <c r="E46" s="6">
        <v>130000</v>
      </c>
      <c r="F46" s="6">
        <v>15764</v>
      </c>
    </row>
    <row r="47" spans="1:6" x14ac:dyDescent="0.3">
      <c r="A47" s="2" t="s">
        <v>18</v>
      </c>
      <c r="B47" s="2" t="s">
        <v>34</v>
      </c>
      <c r="C47" s="2" t="s">
        <v>121</v>
      </c>
      <c r="D47" s="2" t="s">
        <v>13</v>
      </c>
      <c r="E47" s="3">
        <v>177000</v>
      </c>
      <c r="F47" s="3">
        <v>24702</v>
      </c>
    </row>
    <row r="48" spans="1:6" x14ac:dyDescent="0.3">
      <c r="A48" s="5" t="s">
        <v>18</v>
      </c>
      <c r="B48" s="5" t="s">
        <v>34</v>
      </c>
      <c r="C48" s="5" t="s">
        <v>121</v>
      </c>
      <c r="D48" s="5" t="s">
        <v>50</v>
      </c>
      <c r="E48" s="6">
        <v>167000</v>
      </c>
      <c r="F48" s="6">
        <v>19085</v>
      </c>
    </row>
    <row r="49" spans="1:6" x14ac:dyDescent="0.3">
      <c r="A49" s="2" t="s">
        <v>18</v>
      </c>
      <c r="B49" s="2" t="s">
        <v>34</v>
      </c>
      <c r="C49" s="2" t="s">
        <v>121</v>
      </c>
      <c r="D49" s="2" t="s">
        <v>69</v>
      </c>
      <c r="E49" s="3">
        <v>85000</v>
      </c>
      <c r="F49" s="3">
        <v>10596</v>
      </c>
    </row>
    <row r="50" spans="1:6" x14ac:dyDescent="0.3">
      <c r="A50" s="5" t="s">
        <v>18</v>
      </c>
      <c r="B50" s="5" t="s">
        <v>34</v>
      </c>
      <c r="C50" s="5" t="s">
        <v>121</v>
      </c>
      <c r="D50" s="5" t="s">
        <v>112</v>
      </c>
      <c r="E50" s="6">
        <v>193000</v>
      </c>
      <c r="F50" s="6">
        <v>29702</v>
      </c>
    </row>
    <row r="51" spans="1:6" x14ac:dyDescent="0.3">
      <c r="A51" s="2" t="s">
        <v>18</v>
      </c>
      <c r="B51" s="2" t="s">
        <v>34</v>
      </c>
      <c r="C51" s="2" t="s">
        <v>121</v>
      </c>
      <c r="D51" s="2" t="s">
        <v>113</v>
      </c>
      <c r="E51" s="3">
        <v>199000</v>
      </c>
      <c r="F51" s="3">
        <v>28425</v>
      </c>
    </row>
    <row r="52" spans="1:6" x14ac:dyDescent="0.3">
      <c r="A52" s="5" t="s">
        <v>18</v>
      </c>
      <c r="B52" s="5" t="s">
        <v>34</v>
      </c>
      <c r="C52" s="5" t="s">
        <v>121</v>
      </c>
      <c r="D52" s="5" t="s">
        <v>114</v>
      </c>
      <c r="E52" s="6">
        <v>199000</v>
      </c>
      <c r="F52" s="6">
        <v>27848</v>
      </c>
    </row>
  </sheetData>
  <mergeCells count="2">
    <mergeCell ref="A3:F3"/>
    <mergeCell ref="A1:F1"/>
  </mergeCells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Basic Formulas</vt:lpstr>
      <vt:lpstr>VLOOKUP &amp; XLOOKUP</vt:lpstr>
      <vt:lpstr>Pivot Table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Gusain</cp:lastModifiedBy>
  <dcterms:created xsi:type="dcterms:W3CDTF">2026-05-20T07:37:49Z</dcterms:created>
  <dcterms:modified xsi:type="dcterms:W3CDTF">2026-05-22T07:58:36Z</dcterms:modified>
</cp:coreProperties>
</file>